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les" sheetId="1" r:id="rId5"/>
    <sheet state="visible" name="cohort" sheetId="2" r:id="rId6"/>
    <sheet state="visible" name="cohort 2" sheetId="3" r:id="rId7"/>
    <sheet state="visible" name="annual performance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<sst xmlns="http://schemas.openxmlformats.org/spreadsheetml/2006/main" count="205" uniqueCount="67">
  <si>
    <t>Percentages</t>
  </si>
  <si>
    <t>Decile</t>
  </si>
  <si>
    <t># Customers</t>
  </si>
  <si>
    <t>Total Transactions</t>
  </si>
  <si>
    <t>Revenue</t>
  </si>
  <si>
    <t>Profit</t>
  </si>
  <si>
    <t>Average revenue per customer</t>
  </si>
  <si>
    <t>Average profit per customer</t>
  </si>
  <si>
    <t>AOF AVerage order frequency</t>
  </si>
  <si>
    <t>Order Value =Revenue/Transactions</t>
  </si>
  <si>
    <t>Average Margin =Profit/Revenue</t>
  </si>
  <si>
    <t>TOTAL</t>
  </si>
  <si>
    <t>Revenue and Profit Concentration</t>
  </si>
  <si>
    <t>Transaction Volume Analysis</t>
  </si>
  <si>
    <t xml:space="preserve">Customer Engagement </t>
  </si>
  <si>
    <t xml:space="preserve">Value Decomposition </t>
  </si>
  <si>
    <t>SUM of Profit</t>
  </si>
  <si>
    <t>SUM of Revenue</t>
  </si>
  <si>
    <t>SUM of Total Transactions</t>
  </si>
  <si>
    <t>SUM of AOF AVerage order frequency</t>
  </si>
  <si>
    <t>SUM of # Customers</t>
  </si>
  <si>
    <t>SUM of Order Value =Revenue/Transactions</t>
  </si>
  <si>
    <t>SUM of Average Margin =Profit/Revenue</t>
  </si>
  <si>
    <t>Grand Total</t>
  </si>
  <si>
    <t>Quarter</t>
  </si>
  <si>
    <t>% active customers</t>
  </si>
  <si>
    <t>Avg spend/active customer</t>
  </si>
  <si>
    <t>AOF</t>
  </si>
  <si>
    <t>AOV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</si>
  <si>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</si>
  <si>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</si>
  <si>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</si>
  <si>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</si>
  <si>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</si>
  <si>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</si>
  <si>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</si>
  <si>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</si>
  <si>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</si>
  <si>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</si>
  <si>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</si>
  <si>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</si>
  <si>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</si>
  <si>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</si>
  <si>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</si>
  <si>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</si>
  <si>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Q3 2021</t>
  </si>
  <si>
    <t>Q4 2021</t>
  </si>
  <si>
    <t>Q4 2022</t>
  </si>
  <si>
    <t>Total Transactions Q32021</t>
  </si>
  <si>
    <t>Revenue Q32021</t>
  </si>
  <si>
    <t>% active</t>
  </si>
  <si>
    <t>Revenue Q4 2021</t>
  </si>
  <si>
    <t>Revenue Q4 2022</t>
  </si>
  <si>
    <t>Pre-2021</t>
  </si>
  <si>
    <t>2021</t>
  </si>
  <si>
    <t>2022</t>
  </si>
  <si>
    <t>Revenue per customer</t>
  </si>
  <si>
    <t>Profit per customer</t>
  </si>
  <si>
    <t>Profit Margin</t>
  </si>
  <si>
    <t>Total</t>
  </si>
  <si>
    <t>Year</t>
  </si>
  <si>
    <t>Total Revenue</t>
  </si>
  <si>
    <t>Total Profit</t>
  </si>
  <si>
    <t>Total Customers</t>
  </si>
  <si>
    <t>Revenue/Customer</t>
  </si>
  <si>
    <t>Profit/Customer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</si>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</sst>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&quot;$&quot;#,##0"/>
    <numFmt numFmtId="166" formatCode="#,##0.0"/>
    <numFmt numFmtId="167" formatCode="0.0%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Roboto"/>
    </font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Arial"/>
      <scheme val="minor"/>
    </font>
    <font>
      <b/>
      <sz val="11.0"/>
      <color rgb="FF0000FF"/>
      <name val="Calibri"/>
    </font>
    <font/>
    <font>
      <color theme="1"/>
      <name val="Arial"/>
    </font>
    <font>
      <b/>
      <sz val="11.0"/>
      <color rgb="FF0F1115"/>
      <name val="Calibri"/>
    </font>
    <font>
      <sz val="11.0"/>
      <color rgb="FF0F1115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 shrinkToFit="0" wrapText="1"/>
    </xf>
    <xf borderId="1" fillId="0" fontId="1" numFmtId="3" xfId="0" applyAlignment="1" applyBorder="1" applyFont="1" applyNumberFormat="1">
      <alignment readingOrder="0"/>
    </xf>
    <xf borderId="1" fillId="0" fontId="1" numFmtId="9" xfId="0" applyAlignment="1" applyBorder="1" applyFont="1" applyNumberFormat="1">
      <alignment readingOrder="0"/>
    </xf>
    <xf borderId="1" fillId="0" fontId="1" numFmtId="10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 shrinkToFit="0" wrapText="1"/>
    </xf>
    <xf borderId="1" fillId="0" fontId="1" numFmtId="164" xfId="0" applyAlignment="1" applyBorder="1" applyFont="1" applyNumberFormat="1">
      <alignment shrinkToFit="0" wrapText="1"/>
    </xf>
    <xf borderId="1" fillId="0" fontId="1" numFmtId="165" xfId="0" applyAlignment="1" applyBorder="1" applyFont="1" applyNumberFormat="1">
      <alignment readingOrder="0" shrinkToFit="0" wrapText="1"/>
    </xf>
    <xf borderId="1" fillId="0" fontId="1" numFmtId="9" xfId="0" applyAlignment="1" applyBorder="1" applyFont="1" applyNumberFormat="1">
      <alignment readingOrder="0" shrinkToFit="0" wrapText="1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1" numFmtId="0" xfId="0" applyFont="1"/>
    <xf borderId="0" fillId="0" fontId="1" numFmtId="3" xfId="0" applyFont="1" applyNumberFormat="1"/>
    <xf borderId="0" fillId="0" fontId="1" numFmtId="10" xfId="0" applyFont="1" applyNumberFormat="1"/>
    <xf borderId="0" fillId="0" fontId="1" numFmtId="164" xfId="0" applyAlignment="1" applyFont="1" applyNumberFormat="1">
      <alignment shrinkToFit="0" wrapText="1"/>
    </xf>
    <xf borderId="0" fillId="0" fontId="1" numFmtId="3" xfId="0" applyAlignment="1" applyFont="1" applyNumberFormat="1">
      <alignment shrinkToFit="0" wrapText="1"/>
    </xf>
    <xf borderId="0" fillId="0" fontId="1" numFmtId="165" xfId="0" applyAlignment="1" applyFont="1" applyNumberFormat="1">
      <alignment shrinkToFit="0" wrapText="1"/>
    </xf>
    <xf borderId="0" fillId="0" fontId="1" numFmtId="9" xfId="0" applyFont="1" applyNumberFormat="1"/>
    <xf borderId="1" fillId="0" fontId="4" numFmtId="0" xfId="0" applyAlignment="1" applyBorder="1" applyFont="1">
      <alignment horizontal="center" shrinkToFit="0" vertical="bottom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3" fontId="4" numFmtId="164" xfId="0" applyAlignment="1" applyBorder="1" applyFont="1" applyNumberFormat="1">
      <alignment horizontal="center" shrinkToFit="0" vertical="center" wrapText="1"/>
    </xf>
    <xf borderId="1" fillId="3" fontId="4" numFmtId="2" xfId="0" applyAlignment="1" applyBorder="1" applyFont="1" applyNumberFormat="1">
      <alignment horizontal="center" shrinkToFit="0" vertical="center" wrapText="1"/>
    </xf>
    <xf borderId="1" fillId="3" fontId="4" numFmtId="1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vertical="bottom"/>
    </xf>
    <xf borderId="1" fillId="0" fontId="5" numFmtId="3" xfId="0" applyAlignment="1" applyBorder="1" applyFont="1" applyNumberFormat="1">
      <alignment horizontal="center" vertical="bottom"/>
    </xf>
    <xf borderId="1" fillId="0" fontId="6" numFmtId="9" xfId="0" applyAlignment="1" applyBorder="1" applyFont="1" applyNumberFormat="1">
      <alignment readingOrder="0"/>
    </xf>
    <xf borderId="1" fillId="0" fontId="6" numFmtId="164" xfId="0" applyBorder="1" applyFont="1" applyNumberFormat="1"/>
    <xf borderId="1" fillId="0" fontId="6" numFmtId="2" xfId="0" applyBorder="1" applyFont="1" applyNumberFormat="1"/>
    <xf borderId="1" fillId="0" fontId="6" numFmtId="1" xfId="0" applyBorder="1" applyFont="1" applyNumberFormat="1"/>
    <xf borderId="1" fillId="0" fontId="4" numFmtId="3" xfId="0" applyAlignment="1" applyBorder="1" applyFont="1" applyNumberFormat="1">
      <alignment horizontal="center" vertical="bottom"/>
    </xf>
    <xf borderId="1" fillId="0" fontId="1" numFmtId="9" xfId="0" applyBorder="1" applyFont="1" applyNumberFormat="1"/>
    <xf borderId="1" fillId="0" fontId="1" numFmtId="164" xfId="0" applyBorder="1" applyFont="1" applyNumberFormat="1"/>
    <xf borderId="1" fillId="0" fontId="1" numFmtId="2" xfId="0" applyBorder="1" applyFont="1" applyNumberFormat="1"/>
    <xf borderId="1" fillId="0" fontId="1" numFmtId="1" xfId="0" applyBorder="1" applyFont="1" applyNumberFormat="1"/>
    <xf borderId="0" fillId="0" fontId="1" numFmtId="164" xfId="0" applyFont="1" applyNumberFormat="1"/>
    <xf borderId="0" fillId="0" fontId="1" numFmtId="2" xfId="0" applyFont="1" applyNumberFormat="1"/>
    <xf borderId="0" fillId="0" fontId="1" numFmtId="1" xfId="0" applyFont="1" applyNumberFormat="1"/>
    <xf borderId="1" fillId="0" fontId="4" numFmtId="0" xfId="0" applyAlignment="1" applyBorder="1" applyFont="1">
      <alignment horizontal="right" shrinkToFit="0" vertical="bottom" wrapText="1"/>
    </xf>
    <xf borderId="2" fillId="0" fontId="7" numFmtId="0" xfId="0" applyAlignment="1" applyBorder="1" applyFont="1">
      <alignment horizontal="center" vertical="center"/>
    </xf>
    <xf borderId="3" fillId="0" fontId="8" numFmtId="0" xfId="0" applyBorder="1" applyFont="1"/>
    <xf borderId="4" fillId="0" fontId="8" numFmtId="0" xfId="0" applyBorder="1" applyFont="1"/>
    <xf borderId="1" fillId="0" fontId="9" numFmtId="4" xfId="0" applyAlignment="1" applyBorder="1" applyFont="1" applyNumberFormat="1">
      <alignment vertical="bottom"/>
    </xf>
    <xf borderId="1" fillId="0" fontId="9" numFmtId="0" xfId="0" applyAlignment="1" applyBorder="1" applyFont="1">
      <alignment vertical="bottom"/>
    </xf>
    <xf borderId="2" fillId="0" fontId="7" numFmtId="0" xfId="0" applyAlignment="1" applyBorder="1" applyFont="1">
      <alignment horizontal="center" vertical="bottom"/>
    </xf>
    <xf borderId="1" fillId="4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0" fontId="4" numFmtId="4" xfId="0" applyAlignment="1" applyBorder="1" applyFont="1" applyNumberFormat="1">
      <alignment horizontal="center" shrinkToFit="0" vertical="center" wrapText="1"/>
    </xf>
    <xf borderId="1" fillId="5" fontId="4" numFmtId="4" xfId="0" applyAlignment="1" applyBorder="1" applyFill="1" applyFont="1" applyNumberFormat="1">
      <alignment horizontal="center" shrinkToFit="0" vertical="center" wrapText="1"/>
    </xf>
    <xf borderId="1" fillId="5" fontId="4" numFmtId="9" xfId="0" applyAlignment="1" applyBorder="1" applyFont="1" applyNumberFormat="1">
      <alignment horizontal="center" shrinkToFit="0" vertical="center" wrapText="1"/>
    </xf>
    <xf borderId="1" fillId="5" fontId="4" numFmtId="3" xfId="0" applyAlignment="1" applyBorder="1" applyFont="1" applyNumberFormat="1">
      <alignment horizontal="center" shrinkToFit="0" vertical="center" wrapText="1"/>
    </xf>
    <xf borderId="1" fillId="5" fontId="4" numFmtId="166" xfId="0" applyAlignment="1" applyBorder="1" applyFont="1" applyNumberFormat="1">
      <alignment horizontal="center" shrinkToFit="0" vertical="center" wrapText="1"/>
    </xf>
    <xf borderId="1" fillId="4" fontId="4" numFmtId="0" xfId="0" applyAlignment="1" applyBorder="1" applyFont="1">
      <alignment horizontal="right" shrinkToFit="0" vertical="bottom" wrapText="1"/>
    </xf>
    <xf borderId="1" fillId="4" fontId="4" numFmtId="0" xfId="0" applyAlignment="1" applyBorder="1" applyFont="1">
      <alignment horizontal="right" readingOrder="0" shrinkToFit="0" vertical="bottom" wrapText="1"/>
    </xf>
    <xf borderId="1" fillId="0" fontId="4" numFmtId="0" xfId="0" applyAlignment="1" applyBorder="1" applyFont="1">
      <alignment horizontal="right" vertical="bottom"/>
    </xf>
    <xf borderId="1" fillId="0" fontId="4" numFmtId="3" xfId="0" applyAlignment="1" applyBorder="1" applyFont="1" applyNumberFormat="1">
      <alignment horizontal="right" vertical="bottom"/>
    </xf>
    <xf borderId="1" fillId="0" fontId="4" numFmtId="4" xfId="0" applyAlignment="1" applyBorder="1" applyFont="1" applyNumberFormat="1">
      <alignment horizontal="right" vertical="bottom"/>
    </xf>
    <xf borderId="1" fillId="0" fontId="3" numFmtId="9" xfId="0" applyAlignment="1" applyBorder="1" applyFont="1" applyNumberFormat="1">
      <alignment readingOrder="0" vertical="bottom"/>
    </xf>
    <xf borderId="1" fillId="0" fontId="9" numFmtId="3" xfId="0" applyAlignment="1" applyBorder="1" applyFont="1" applyNumberFormat="1">
      <alignment vertical="bottom"/>
    </xf>
    <xf borderId="1" fillId="0" fontId="1" numFmtId="0" xfId="0" applyBorder="1" applyFont="1"/>
    <xf borderId="1" fillId="0" fontId="9" numFmtId="9" xfId="0" applyAlignment="1" applyBorder="1" applyFont="1" applyNumberFormat="1">
      <alignment vertical="bottom"/>
    </xf>
    <xf borderId="1" fillId="0" fontId="4" numFmtId="9" xfId="0" applyAlignment="1" applyBorder="1" applyFont="1" applyNumberFormat="1">
      <alignment horizontal="right" readingOrder="0" vertical="bottom"/>
    </xf>
    <xf borderId="1" fillId="0" fontId="4" numFmtId="166" xfId="0" applyAlignment="1" applyBorder="1" applyFont="1" applyNumberFormat="1">
      <alignment horizontal="right" vertical="bottom"/>
    </xf>
    <xf borderId="1" fillId="0" fontId="4" numFmtId="167" xfId="0" applyAlignment="1" applyBorder="1" applyFont="1" applyNumberFormat="1">
      <alignment horizontal="right" vertical="bottom"/>
    </xf>
    <xf borderId="1" fillId="0" fontId="9" numFmtId="4" xfId="0" applyAlignment="1" applyBorder="1" applyFont="1" applyNumberFormat="1">
      <alignment horizontal="right" vertical="bottom"/>
    </xf>
    <xf borderId="1" fillId="6" fontId="4" numFmtId="3" xfId="0" applyAlignment="1" applyBorder="1" applyFill="1" applyFont="1" applyNumberFormat="1">
      <alignment horizontal="right" shrinkToFit="0" vertical="bottom" wrapText="1"/>
    </xf>
    <xf borderId="1" fillId="0" fontId="4" numFmtId="10" xfId="0" applyAlignment="1" applyBorder="1" applyFont="1" applyNumberFormat="1">
      <alignment horizontal="right" vertical="bottom"/>
    </xf>
    <xf borderId="1" fillId="6" fontId="4" numFmtId="3" xfId="0" applyAlignment="1" applyBorder="1" applyFont="1" applyNumberFormat="1">
      <alignment horizontal="right" vertical="bottom"/>
    </xf>
    <xf borderId="1" fillId="6" fontId="3" numFmtId="9" xfId="0" applyAlignment="1" applyBorder="1" applyFont="1" applyNumberFormat="1">
      <alignment horizontal="right" readingOrder="0" vertical="bottom"/>
    </xf>
    <xf borderId="1" fillId="6" fontId="9" numFmtId="9" xfId="0" applyAlignment="1" applyBorder="1" applyFont="1" applyNumberFormat="1">
      <alignment vertical="bottom"/>
    </xf>
    <xf borderId="1" fillId="6" fontId="9" numFmtId="3" xfId="0" applyAlignment="1" applyBorder="1" applyFont="1" applyNumberFormat="1">
      <alignment horizontal="right" vertical="bottom"/>
    </xf>
    <xf borderId="1" fillId="6" fontId="9" numFmtId="3" xfId="0" applyAlignment="1" applyBorder="1" applyFont="1" applyNumberFormat="1">
      <alignment vertical="bottom"/>
    </xf>
    <xf borderId="1" fillId="6" fontId="9" numFmtId="166" xfId="0" applyAlignment="1" applyBorder="1" applyFont="1" applyNumberFormat="1">
      <alignment horizontal="right" vertical="bottom"/>
    </xf>
    <xf borderId="1" fillId="6" fontId="9" numFmtId="166" xfId="0" applyAlignment="1" applyBorder="1" applyFont="1" applyNumberFormat="1">
      <alignment vertical="bottom"/>
    </xf>
    <xf borderId="1" fillId="6" fontId="9" numFmtId="9" xfId="0" applyAlignment="1" applyBorder="1" applyFont="1" applyNumberFormat="1">
      <alignment horizontal="right" vertical="bottom"/>
    </xf>
    <xf borderId="1" fillId="6" fontId="9" numFmtId="9" xfId="0" applyAlignment="1" applyBorder="1" applyFont="1" applyNumberFormat="1">
      <alignment horizontal="right" readingOrder="0" vertical="bottom"/>
    </xf>
    <xf borderId="5" fillId="7" fontId="4" numFmtId="0" xfId="0" applyAlignment="1" applyBorder="1" applyFill="1" applyFont="1">
      <alignment horizontal="center" vertical="bottom"/>
    </xf>
    <xf borderId="6" fillId="0" fontId="8" numFmtId="0" xfId="0" applyBorder="1" applyFont="1"/>
    <xf borderId="7" fillId="0" fontId="8" numFmtId="0" xfId="0" applyBorder="1" applyFont="1"/>
    <xf borderId="0" fillId="0" fontId="4" numFmtId="0" xfId="0" applyFont="1"/>
    <xf borderId="0" fillId="0" fontId="5" numFmtId="0" xfId="0" applyAlignment="1" applyFont="1">
      <alignment horizontal="center" vertical="bottom"/>
    </xf>
    <xf borderId="0" fillId="0" fontId="4" numFmtId="1" xfId="0" applyFont="1" applyNumberFormat="1"/>
    <xf borderId="1" fillId="6" fontId="4" numFmtId="0" xfId="0" applyAlignment="1" applyBorder="1" applyFont="1">
      <alignment vertical="bottom"/>
    </xf>
    <xf borderId="1" fillId="6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" xfId="0" applyAlignment="1" applyFont="1" applyNumberFormat="1">
      <alignment horizontal="right" vertical="bottom"/>
    </xf>
    <xf borderId="0" fillId="0" fontId="4" numFmtId="3" xfId="0" applyAlignment="1" applyFont="1" applyNumberFormat="1">
      <alignment horizontal="right" vertical="bottom"/>
    </xf>
    <xf borderId="8" fillId="6" fontId="10" numFmtId="3" xfId="0" applyAlignment="1" applyBorder="1" applyFont="1" applyNumberFormat="1">
      <alignment horizontal="left" readingOrder="0" shrinkToFit="0" wrapText="1"/>
    </xf>
    <xf borderId="8" fillId="6" fontId="10" numFmtId="1" xfId="0" applyAlignment="1" applyBorder="1" applyFont="1" applyNumberFormat="1">
      <alignment horizontal="left" readingOrder="0"/>
    </xf>
    <xf borderId="8" fillId="6" fontId="11" numFmtId="0" xfId="0" applyAlignment="1" applyBorder="1" applyFont="1">
      <alignment readingOrder="0"/>
    </xf>
    <xf borderId="8" fillId="6" fontId="11" numFmtId="4" xfId="0" applyBorder="1" applyFont="1" applyNumberFormat="1"/>
    <xf borderId="8" fillId="6" fontId="11" numFmtId="4" xfId="0" applyAlignment="1" applyBorder="1" applyFont="1" applyNumberFormat="1">
      <alignment readingOrder="0"/>
    </xf>
    <xf borderId="0" fillId="6" fontId="11" numFmtId="0" xfId="0" applyAlignment="1" applyFont="1">
      <alignment readingOrder="0"/>
    </xf>
    <xf borderId="0" fillId="6" fontId="11" numFmtId="10" xfId="0" applyAlignment="1" applyFont="1" applyNumberFormat="1">
      <alignment readingOrder="0"/>
    </xf>
    <xf borderId="0" fillId="6" fontId="11" numFmtId="10" xfId="0" applyFont="1" applyNumberFormat="1"/>
    <xf borderId="9" fillId="6" fontId="11" numFmtId="0" xfId="0" applyAlignment="1" applyBorder="1" applyFont="1">
      <alignment readingOrder="0"/>
    </xf>
    <xf borderId="9" fillId="6" fontId="11" numFmtId="4" xfId="0" applyAlignment="1" applyBorder="1" applyFont="1" applyNumberFormat="1">
      <alignment readingOrder="0"/>
    </xf>
    <xf borderId="9" fillId="6" fontId="11" numFmtId="1" xfId="0" applyAlignment="1" applyBorder="1" applyFont="1" applyNumberFormat="1">
      <alignment readingOrder="0"/>
    </xf>
    <xf borderId="9" fillId="6" fontId="11" numFmtId="1" xfId="0" applyBorder="1" applyFont="1" applyNumberFormat="1"/>
    <xf borderId="0" fillId="0" fontId="4" numFmtId="0" xfId="0" applyAlignment="1" applyFont="1">
      <alignment readingOrder="0"/>
    </xf>
    <xf borderId="0" fillId="0" fontId="4" numFmtId="3" xfId="0" applyFont="1" applyNumberFormat="1"/>
    <xf borderId="2" fillId="7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5" numFmtId="1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/>
    </xf>
    <xf borderId="8" fillId="6" fontId="10" numFmtId="3" xfId="0" applyAlignment="1" applyBorder="1" applyFont="1" applyNumberFormat="1">
      <alignment horizontal="left" readingOrder="0"/>
    </xf>
    <xf borderId="8" fillId="6" fontId="10" numFmtId="0" xfId="0" applyAlignment="1" applyBorder="1" applyFont="1">
      <alignment horizontal="left" readingOrder="0"/>
    </xf>
    <xf borderId="8" fillId="6" fontId="11" numFmtId="3" xfId="0" applyAlignment="1" applyBorder="1" applyFont="1" applyNumberFormat="1">
      <alignment readingOrder="0"/>
    </xf>
    <xf borderId="8" fillId="6" fontId="11" numFmtId="10" xfId="0" applyAlignment="1" applyBorder="1" applyFont="1" applyNumberFormat="1">
      <alignment readingOrder="0"/>
    </xf>
    <xf borderId="0" fillId="0" fontId="4" numFmtId="167" xfId="0" applyFont="1" applyNumberFormat="1"/>
    <xf borderId="0" fillId="0" fontId="4" numFmtId="0" xfId="0" applyAlignment="1" applyFont="1">
      <alignment readingOrder="0" vertical="bottom"/>
    </xf>
    <xf borderId="1" fillId="6" fontId="4" numFmtId="3" xfId="0" applyAlignment="1" applyBorder="1" applyFont="1" applyNumberFormat="1">
      <alignment vertical="bottom"/>
    </xf>
    <xf borderId="0" fillId="6" fontId="11" numFmtId="0" xfId="0" applyFont="1"/>
    <xf borderId="0" fillId="0" fontId="4" numFmtId="0" xfId="0" applyAlignment="1" applyFont="1">
      <alignment vertical="bottom"/>
    </xf>
    <xf borderId="0" fillId="6" fontId="10" numFmtId="3" xfId="0" applyAlignment="1" applyFont="1" applyNumberFormat="1">
      <alignment horizontal="left" readingOrder="0" shrinkToFit="0" wrapText="1"/>
    </xf>
    <xf borderId="0" fillId="6" fontId="10" numFmtId="1" xfId="0" applyAlignment="1" applyFont="1" applyNumberFormat="1">
      <alignment horizontal="left" readingOrder="0"/>
    </xf>
    <xf borderId="1" fillId="6" fontId="4" numFmtId="0" xfId="0" applyAlignment="1" applyBorder="1" applyFont="1">
      <alignment readingOrder="0" vertical="bottom"/>
    </xf>
    <xf borderId="0" fillId="6" fontId="11" numFmtId="1" xfId="0" applyAlignment="1" applyFont="1" applyNumberFormat="1">
      <alignment readingOrder="0"/>
    </xf>
    <xf borderId="0" fillId="6" fontId="11" numFmtId="3" xfId="0" applyAlignment="1" applyFont="1" applyNumberFormat="1">
      <alignment readingOrder="0"/>
    </xf>
    <xf borderId="1" fillId="0" fontId="4" numFmtId="0" xfId="0" applyAlignment="1" applyBorder="1" applyFont="1">
      <alignment readingOrder="0" vertical="bottom"/>
    </xf>
    <xf borderId="1" fillId="0" fontId="4" numFmtId="3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Revenue and SUM of profit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deciles!$D$2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deciles!$A$3:$A$13</c:f>
            </c:strRef>
          </c:cat>
          <c:val>
            <c:numRef>
              <c:f>deciles!$D$3:$D$13</c:f>
              <c:numCache/>
            </c:numRef>
          </c:val>
          <c:smooth val="0"/>
        </c:ser>
        <c:ser>
          <c:idx val="1"/>
          <c:order val="1"/>
          <c:tx>
            <c:strRef>
              <c:f>deciles!$E$2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deciles!$A$3:$A$13</c:f>
            </c:strRef>
          </c:cat>
          <c:val>
            <c:numRef>
              <c:f>deciles!$E$3:$E$13</c:f>
              <c:numCache/>
            </c:numRef>
          </c:val>
          <c:smooth val="0"/>
        </c:ser>
        <c:axId val="2028032852"/>
        <c:axId val="916625245"/>
      </c:lineChart>
      <c:catAx>
        <c:axId val="2028032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6625245"/>
      </c:catAx>
      <c:valAx>
        <c:axId val="916625245"/>
        <c:scaling>
          <c:orientation val="minMax"/>
          <c:max val="1.5E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80328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Quarter vs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cohort!$D$1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cohort!$A$2:$A$17</c:f>
            </c:strRef>
          </c:cat>
          <c:val>
            <c:numRef>
              <c:f>cohort!$D$2:$D$17</c:f>
              <c:numCache/>
            </c:numRef>
          </c:val>
        </c:ser>
        <c:axId val="1957931673"/>
        <c:axId val="1402912856"/>
      </c:barChart>
      <c:catAx>
        <c:axId val="1957931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2912856"/>
      </c:catAx>
      <c:valAx>
        <c:axId val="140291285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79316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Transaction vs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cohort!$C$1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cohort!$A$2:$A$17</c:f>
            </c:strRef>
          </c:cat>
          <c:val>
            <c:numRef>
              <c:f>cohort!$C$2:$C$17</c:f>
              <c:numCache/>
            </c:numRef>
          </c:val>
        </c:ser>
        <c:axId val="276023580"/>
        <c:axId val="600312564"/>
      </c:barChart>
      <c:catAx>
        <c:axId val="276023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0312564"/>
      </c:catAx>
      <c:valAx>
        <c:axId val="6003125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60235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Average Spend/Active customer vs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cohort!$G$1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cohort!$A$2:$A$17</c:f>
            </c:strRef>
          </c:cat>
          <c:val>
            <c:numRef>
              <c:f>cohort!$G$2:$G$17</c:f>
              <c:numCache/>
            </c:numRef>
          </c:val>
        </c:ser>
        <c:axId val="1001805598"/>
        <c:axId val="504858874"/>
      </c:barChart>
      <c:catAx>
        <c:axId val="10018055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4858874"/>
      </c:catAx>
      <c:valAx>
        <c:axId val="504858874"/>
        <c:scaling>
          <c:orientation val="minMax"/>
          <c:max val="1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18055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AOF vs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cohort!$H$1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cohort!$A$2:$A$17</c:f>
            </c:strRef>
          </c:cat>
          <c:val>
            <c:numRef>
              <c:f>cohort!$H$2:$H$17</c:f>
              <c:numCache/>
            </c:numRef>
          </c:val>
        </c:ser>
        <c:axId val="1128841812"/>
        <c:axId val="1755063722"/>
      </c:barChart>
      <c:catAx>
        <c:axId val="1128841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5063722"/>
      </c:catAx>
      <c:valAx>
        <c:axId val="17550637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88418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% active vs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cohort!$F$1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cohort!$A$2:$A$17</c:f>
            </c:strRef>
          </c:cat>
          <c:val>
            <c:numRef>
              <c:f>cohort!$F$2:$F$17</c:f>
              <c:numCache/>
            </c:numRef>
          </c:val>
        </c:ser>
        <c:axId val="2060462827"/>
        <c:axId val="940228343"/>
      </c:barChart>
      <c:catAx>
        <c:axId val="20604628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0228343"/>
      </c:catAx>
      <c:valAx>
        <c:axId val="9402283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04628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#Customers vs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cohort!$B$1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cohort!$A$2:$A$17</c:f>
            </c:strRef>
          </c:cat>
          <c:val>
            <c:numRef>
              <c:f>cohort!$B$2:$B$17</c:f>
              <c:numCache/>
            </c:numRef>
          </c:val>
        </c:ser>
        <c:axId val="42684048"/>
        <c:axId val="1626110118"/>
      </c:barChart>
      <c:catAx>
        <c:axId val="42684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6110118"/>
      </c:catAx>
      <c:valAx>
        <c:axId val="1626110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6840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vs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cohort!$E$1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cohort!$A$2:$A$17</c:f>
            </c:strRef>
          </c:cat>
          <c:val>
            <c:numRef>
              <c:f>cohort!$E$2:$E$17</c:f>
              <c:numCache/>
            </c:numRef>
          </c:val>
        </c:ser>
        <c:axId val="541152099"/>
        <c:axId val="924170979"/>
      </c:barChart>
      <c:catAx>
        <c:axId val="541152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4170979"/>
      </c:catAx>
      <c:valAx>
        <c:axId val="924170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11520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AOV vs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cohort!$I$1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cohort!$A$2:$A$17</c:f>
            </c:strRef>
          </c:cat>
          <c:val>
            <c:numRef>
              <c:f>cohort!$I$2:$I$17</c:f>
              <c:numCache/>
            </c:numRef>
          </c:val>
        </c:ser>
        <c:axId val="122881922"/>
        <c:axId val="2084741468"/>
      </c:barChart>
      <c:catAx>
        <c:axId val="1228819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4741468"/>
      </c:catAx>
      <c:valAx>
        <c:axId val="2084741468"/>
        <c:scaling>
          <c:orientation val="minMax"/>
          <c:min val="4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8819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Q3 2021, Q4 2021 and Q4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'cohort 2'!$B$20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2'!$A$21:$A$34</c:f>
            </c:strRef>
          </c:cat>
          <c:val>
            <c:numRef>
              <c:f>'cohort 2'!$B$21:$B$34</c:f>
              <c:numCache/>
            </c:numRef>
          </c:val>
          <c:smooth val="0"/>
        </c:ser>
        <c:ser>
          <c:idx val="1"/>
          <c:order val="1"/>
          <c:tx>
            <c:strRef>
              <c:f>'cohort 2'!$C$20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2'!$A$21:$A$34</c:f>
            </c:strRef>
          </c:cat>
          <c:val>
            <c:numRef>
              <c:f>'cohort 2'!$C$21:$C$34</c:f>
              <c:numCache/>
            </c:numRef>
          </c:val>
          <c:smooth val="0"/>
        </c:ser>
        <c:ser>
          <c:idx val="2"/>
          <c:order val="2"/>
          <c:tx>
            <c:strRef>
              <c:f>'cohort 2'!$D$20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2'!$A$21:$A$34</c:f>
            </c:strRef>
          </c:cat>
          <c:val>
            <c:numRef>
              <c:f>'cohort 2'!$D$21:$D$34</c:f>
              <c:numCache/>
            </c:numRef>
          </c:val>
          <c:smooth val="0"/>
        </c:ser>
        <c:axId val="230346497"/>
        <c:axId val="716459719"/>
      </c:lineChart>
      <c:catAx>
        <c:axId val="2303464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6459719"/>
      </c:catAx>
      <c:valAx>
        <c:axId val="716459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3464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Q3 2021, Q4 2021, Q4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'cohort 2'!$F$20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2'!$E$21:$E$34</c:f>
            </c:strRef>
          </c:cat>
          <c:val>
            <c:numRef>
              <c:f>'cohort 2'!$F$21:$F$34</c:f>
              <c:numCache/>
            </c:numRef>
          </c:val>
          <c:smooth val="0"/>
        </c:ser>
        <c:ser>
          <c:idx val="1"/>
          <c:order val="1"/>
          <c:tx>
            <c:strRef>
              <c:f>'cohort 2'!$G$20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2'!$E$21:$E$34</c:f>
            </c:strRef>
          </c:cat>
          <c:val>
            <c:numRef>
              <c:f>'cohort 2'!$G$21:$G$34</c:f>
              <c:numCache/>
            </c:numRef>
          </c:val>
          <c:smooth val="0"/>
        </c:ser>
        <c:ser>
          <c:idx val="2"/>
          <c:order val="2"/>
          <c:tx>
            <c:strRef>
              <c:f>'cohort 2'!$H$20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2'!$E$21:$E$34</c:f>
            </c:strRef>
          </c:cat>
          <c:val>
            <c:numRef>
              <c:f>'cohort 2'!$H$21:$H$34</c:f>
              <c:numCache/>
            </c:numRef>
          </c:val>
          <c:smooth val="0"/>
        </c:ser>
        <c:axId val="404758501"/>
        <c:axId val="448299473"/>
      </c:lineChart>
      <c:catAx>
        <c:axId val="404758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8299473"/>
      </c:catAx>
      <c:valAx>
        <c:axId val="4482994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47585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AOV and cohorts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'cohort 2'!$I$20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'cohort 2'!$I$21:$I$34</c:f>
              <c:numCache/>
            </c:numRef>
          </c:val>
          <c:smooth val="0"/>
        </c:ser>
        <c:ser>
          <c:idx val="1"/>
          <c:order val="1"/>
          <c:tx>
            <c:strRef>
              <c:f>'cohort 2'!$J$20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'cohort 2'!$J$21:$J$34</c:f>
              <c:numCache/>
            </c:numRef>
          </c:val>
          <c:smooth val="0"/>
        </c:ser>
        <c:ser>
          <c:idx val="2"/>
          <c:order val="2"/>
          <c:tx>
            <c:strRef>
              <c:f>'cohort 2'!$K$20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'cohort 2'!$K$21:$K$34</c:f>
              <c:numCache/>
            </c:numRef>
          </c:val>
          <c:smooth val="0"/>
        </c:ser>
        <c:axId val="184969322"/>
        <c:axId val="1868250132"/>
      </c:lineChart>
      <c:catAx>
        <c:axId val="184969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8250132"/>
      </c:catAx>
      <c:valAx>
        <c:axId val="18682501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9693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Year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'annual performance'!$L$10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'annual performance'!$H$11:$H$14</c:f>
            </c:strRef>
          </c:cat>
          <c:val>
            <c:numRef>
              <c:f>'annual performance'!$L$11:$L$14</c:f>
              <c:numCache/>
            </c:numRef>
          </c:val>
        </c:ser>
        <c:ser>
          <c:idx val="1"/>
          <c:order val="1"/>
          <c:tx>
            <c:strRef>
              <c:f>'annual performance'!$M$10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'annual performance'!$H$11:$H$14</c:f>
            </c:strRef>
          </c:cat>
          <c:val>
            <c:numRef>
              <c:f>'annual performance'!$M$11:$M$14</c:f>
              <c:numCache/>
            </c:numRef>
          </c:val>
        </c:ser>
        <c:overlap val="100"/>
        <c:axId val="2085689021"/>
        <c:axId val="1790520275"/>
      </c:barChart>
      <c:catAx>
        <c:axId val="2085689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0520275"/>
      </c:catAx>
      <c:valAx>
        <c:axId val="1790520275"/>
        <c:scaling>
          <c:orientation val="minMax"/>
          <c:max val="16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56890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Margin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'annual performance'!$N$10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'annual performance'!$H$11:$H$14</c:f>
            </c:strRef>
          </c:cat>
          <c:val>
            <c:numRef>
              <c:f>'annual performance'!$N$11:$N$14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Relationship Id="rId8" Type="http://schemas.openxmlformats.org/officeDocument/2006/relationships/chart" Target="../charts/chart9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161925</xdr:rowOff>
    </xdr:from>
    <xdr:ext cx="3609975" cy="2228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57150</xdr:colOff>
      <xdr:row>0</xdr:row>
      <xdr:rowOff>57150</xdr:rowOff>
    </xdr:from>
    <xdr:ext cx="4752975" cy="29432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</xdr:colOff>
      <xdr:row>13</xdr:row>
      <xdr:rowOff>76200</xdr:rowOff>
    </xdr:from>
    <xdr:ext cx="4752975" cy="29432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0</xdr:colOff>
      <xdr:row>0</xdr:row>
      <xdr:rowOff>57150</xdr:rowOff>
    </xdr:from>
    <xdr:ext cx="4752975" cy="29432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47625</xdr:colOff>
      <xdr:row>13</xdr:row>
      <xdr:rowOff>76200</xdr:rowOff>
    </xdr:from>
    <xdr:ext cx="4752975" cy="29432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18</xdr:col>
      <xdr:colOff>952500</xdr:colOff>
      <xdr:row>0</xdr:row>
      <xdr:rowOff>57150</xdr:rowOff>
    </xdr:from>
    <xdr:ext cx="4752975" cy="29432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18</xdr:col>
      <xdr:colOff>952500</xdr:colOff>
      <xdr:row>12</xdr:row>
      <xdr:rowOff>200025</xdr:rowOff>
    </xdr:from>
    <xdr:ext cx="4752975" cy="29432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9</xdr:col>
      <xdr:colOff>104775</xdr:colOff>
      <xdr:row>27</xdr:row>
      <xdr:rowOff>190500</xdr:rowOff>
    </xdr:from>
    <xdr:ext cx="4752975" cy="29432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14</xdr:col>
      <xdr:colOff>114300</xdr:colOff>
      <xdr:row>28</xdr:row>
      <xdr:rowOff>38100</xdr:rowOff>
    </xdr:from>
    <xdr:ext cx="4752975" cy="29432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34</xdr:row>
      <xdr:rowOff>114300</xdr:rowOff>
    </xdr:from>
    <xdr:ext cx="4086225" cy="25241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238125</xdr:colOff>
      <xdr:row>34</xdr:row>
      <xdr:rowOff>114300</xdr:rowOff>
    </xdr:from>
    <xdr:ext cx="4276725" cy="26384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828675</xdr:colOff>
      <xdr:row>34</xdr:row>
      <xdr:rowOff>152400</xdr:rowOff>
    </xdr:from>
    <xdr:ext cx="3971925" cy="24574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438150</xdr:colOff>
      <xdr:row>15</xdr:row>
      <xdr:rowOff>190500</xdr:rowOff>
    </xdr:from>
    <xdr:ext cx="4781550" cy="29527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619125</xdr:colOff>
      <xdr:row>16</xdr:row>
      <xdr:rowOff>85725</xdr:rowOff>
    </xdr:from>
    <xdr:ext cx="3876675" cy="237172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N12" sheet="deciles"/>
  </cacheSource>
  <cacheFields>
    <cacheField name="Decile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</sharedItems>
    </cacheField>
    <cacheField name="# Customers" numFmtId="3">
      <sharedItems containsSemiMixedTypes="0" containsString="0" containsNumber="1" containsInteger="1">
        <n v="3180.0"/>
        <n v="3177.0"/>
        <n v="3178.0"/>
        <n v="3183.0"/>
        <n v="3124.0"/>
        <n v="3233.0"/>
        <n v="2996.0"/>
        <n v="3360.0"/>
        <n v="3186.0"/>
      </sharedItems>
    </cacheField>
    <cacheField name="Total Transactions" numFmtId="3">
      <sharedItems containsSemiMixedTypes="0" containsString="0" containsNumber="1" containsInteger="1">
        <n v="17503.0"/>
        <n v="8703.0"/>
        <n v="6345.0"/>
        <n v="5349.0"/>
        <n v="4683.0"/>
        <n v="4330.0"/>
        <n v="4004.0"/>
        <n v="3414.0"/>
        <n v="3659.0"/>
        <n v="3270.0"/>
      </sharedItems>
    </cacheField>
    <cacheField name="Revenue" numFmtId="3">
      <sharedItems containsSemiMixedTypes="0" containsString="0" containsNumber="1" containsInteger="1">
        <n v="1.28952505E8"/>
        <n v="5.5542905E7"/>
        <n v="3.8274225E7"/>
        <n v="2.901701E7"/>
        <n v="2.2555225E7"/>
        <n v="1.7169955E7"/>
        <n v="1.347071E7"/>
        <n v="9381075.0"/>
        <n v="7496500.0"/>
        <n v="3740550.0"/>
      </sharedItems>
    </cacheField>
    <cacheField name="Profit" numFmtId="3">
      <sharedItems containsSemiMixedTypes="0" containsString="0" containsNumber="1" containsInteger="1">
        <n v="6.2160175E7"/>
        <n v="2.707903E7"/>
        <n v="1.8722055E7"/>
        <n v="1.3916595E7"/>
        <n v="1.0734405E7"/>
        <n v="7948270.0"/>
        <n v="6240025.0"/>
        <n v="4326685.0"/>
        <n v="3334100.0"/>
        <n v="1554795.0"/>
      </sharedItems>
    </cacheField>
    <cacheField name="# customers2" numFmtId="9">
      <sharedItems containsSemiMixedTypes="0" containsString="0" containsNumber="1">
        <n v="0.1"/>
        <n v="0.09"/>
        <n v="0.11"/>
      </sharedItems>
    </cacheField>
    <cacheField name="total transactions2" numFmtId="10">
      <sharedItems containsSemiMixedTypes="0" containsString="0" containsNumber="1">
        <n v="0.2857"/>
        <n v="0.1421"/>
        <n v="0.1036"/>
        <n v="0.0873"/>
        <n v="0.0764"/>
        <n v="0.0707"/>
        <n v="0.0654"/>
        <n v="0.0557"/>
        <n v="0.0597"/>
        <n v="0.0534"/>
      </sharedItems>
    </cacheField>
    <cacheField name="revenue2" numFmtId="10">
      <sharedItems containsSemiMixedTypes="0" containsString="0" containsNumber="1">
        <n v="0.396"/>
        <n v="0.1706"/>
        <n v="0.1175"/>
        <n v="0.0891"/>
        <n v="0.0693"/>
        <n v="0.0527"/>
        <n v="0.0414"/>
        <n v="0.0288"/>
        <n v="0.023"/>
        <n v="0.0115"/>
      </sharedItems>
    </cacheField>
    <cacheField name="profit2" numFmtId="10">
      <sharedItems containsSemiMixedTypes="0" containsString="0" containsNumber="1">
        <n v="0.3984"/>
        <n v="0.1736"/>
        <n v="0.12"/>
        <n v="0.0892"/>
        <n v="0.0688"/>
        <n v="0.0509"/>
        <n v="0.04"/>
        <n v="0.0277"/>
        <n v="0.0214"/>
        <n v="0.01"/>
      </sharedItems>
    </cacheField>
    <cacheField name="Average revenue per customer" numFmtId="4">
      <sharedItems containsSemiMixedTypes="0" containsString="0" containsNumber="1">
        <n v="40551.10220125786"/>
        <n v="17466.322327044025"/>
        <n v="12047.285174693106"/>
        <n v="9130.588420390182"/>
        <n v="7086.153000314169"/>
        <n v="5496.144366197183"/>
        <n v="4166.628518403959"/>
        <n v="3131.1999332443256"/>
        <n v="2231.1011904761904"/>
        <n v="1174.0583804143125"/>
      </sharedItems>
    </cacheField>
    <cacheField name="Average profit per customer" numFmtId="4">
      <sharedItems containsSemiMixedTypes="0" containsString="0" containsNumber="1">
        <n v="3551.4011883677085"/>
        <n v="3111.459266919453"/>
        <n v="2950.678486997636"/>
        <n v="2601.7190128996076"/>
        <n v="2292.206918641896"/>
        <n v="1835.6281755196305"/>
        <n v="1558.4478021978023"/>
        <n v="1267.3359695371998"/>
        <n v="911.2052473353375"/>
        <n v="475.4724770642202"/>
      </sharedItems>
    </cacheField>
    <cacheField name="AOF AVerage order frequency" numFmtId="164">
      <sharedItems containsSemiMixedTypes="0" containsString="0" containsNumber="1">
        <n v="5.504088050314466"/>
        <n v="2.736792452830189"/>
        <n v="1.9971671388101984"/>
        <n v="1.6831340465701699"/>
        <n v="1.471253534401508"/>
        <n v="1.3860435339308579"/>
        <n v="1.238478193628209"/>
        <n v="1.1395193591455273"/>
        <n v="1.0889880952380953"/>
        <n v="1.0263653483992468"/>
      </sharedItems>
    </cacheField>
    <cacheField name="Order Value =Revenue/Transactions" numFmtId="165">
      <sharedItems containsSemiMixedTypes="0" containsString="0" containsNumber="1">
        <n v="7367.45157972919"/>
        <n v="6382.0412501436285"/>
        <n v="6032.1867612293145"/>
        <n v="5424.75415965601"/>
        <n v="4816.405082212257"/>
        <n v="3965.347575057737"/>
        <n v="3364.313186813187"/>
        <n v="2747.8251318101934"/>
        <n v="2048.7838207160426"/>
        <n v="1143.8990825688074"/>
      </sharedItems>
    </cacheField>
    <cacheField name="Average Margin =Profit/Revenue" numFmtId="9">
      <sharedItems containsSemiMixedTypes="0" containsString="0" containsNumber="1">
        <n v="0.48203929811212276"/>
        <n v="0.48753355626609735"/>
        <n v="0.4891556915914039"/>
        <n v="0.47960127525199875"/>
        <n v="0.4759165559199698"/>
        <n v="0.46291734602682416"/>
        <n v="0.4632291096757335"/>
        <n v="0.46121419986515405"/>
        <n v="0.4447542186353632"/>
        <n v="0.415659461843846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eciles" cacheId="0" dataCaption="" compact="0" compactData="0">
  <location ref="A16:C27" firstHeaderRow="0" firstDataRow="2" firstDataCol="0"/>
  <pivotFields>
    <pivotField name="Decil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# Customer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Transact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ven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fi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# customers2" compact="0" numFmtId="9" outline="0" multipleItemSelectionAllowed="1" showAll="0">
      <items>
        <item x="0"/>
        <item x="1"/>
        <item x="2"/>
        <item t="default"/>
      </items>
    </pivotField>
    <pivotField name="total transactions2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venue2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fit2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verage revenue per custome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verage profit per custome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OF AVerage order frequenc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rder Value =Revenue/Transaction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verage Margin =Profit/Revenue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colFields>
    <field x="-2"/>
  </colFields>
  <dataFields>
    <dataField name="SUM of Profit" fld="4" baseField="0"/>
    <dataField name="SUM of Revenue" fld="3" baseField="0"/>
  </dataFields>
</pivotTableDefinition>
</file>

<file path=xl/pivotTables/pivotTable2.xml><?xml version="1.0" encoding="utf-8"?>
<pivotTableDefinition xmlns="http://schemas.openxmlformats.org/spreadsheetml/2006/main" name="deciles 2" cacheId="0" dataCaption="" compact="0" compactData="0">
  <location ref="F16:H27" firstHeaderRow="0" firstDataRow="2" firstDataCol="0"/>
  <pivotFields>
    <pivotField name="Decil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# Customer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Transact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venu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fi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# customers2" compact="0" numFmtId="9" outline="0" multipleItemSelectionAllowed="1" showAll="0">
      <items>
        <item x="0"/>
        <item x="1"/>
        <item x="2"/>
        <item t="default"/>
      </items>
    </pivotField>
    <pivotField name="total transactions2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venue2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fit2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verage revenue per custome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verage profit per custome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OF AVerage order frequenc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rder Value =Revenue/Transaction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verage Margin =Profit/Revenue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colFields>
    <field x="-2"/>
  </colFields>
  <dataFields>
    <dataField name="SUM of Total Transactions" fld="2" baseField="0"/>
    <dataField name="SUM of total transactions2" fld="6" baseField="0"/>
  </dataFields>
</pivotTableDefinition>
</file>

<file path=xl/pivotTables/pivotTable3.xml><?xml version="1.0" encoding="utf-8"?>
<pivotTableDefinition xmlns="http://schemas.openxmlformats.org/spreadsheetml/2006/main" name="deciles 3" cacheId="0" dataCaption="" compact="0" compactData="0">
  <location ref="J16:L27" firstHeaderRow="0" firstDataRow="2" firstDataCol="0"/>
  <pivotFields>
    <pivotField name="Decil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# Customer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Transact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venu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fi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# customers2" compact="0" numFmtId="9" outline="0" multipleItemSelectionAllowed="1" showAll="0">
      <items>
        <item x="0"/>
        <item x="1"/>
        <item x="2"/>
        <item t="default"/>
      </items>
    </pivotField>
    <pivotField name="total transactions2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venue2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fit2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verage revenue per custome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verage profit per custome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OF AVerage order frequency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rder Value =Revenue/Transaction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verage Margin =Profit/Revenue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colFields>
    <field x="-2"/>
  </colFields>
  <dataFields>
    <dataField name="SUM of AOF AVerage order frequency" fld="11" baseField="0"/>
    <dataField name="SUM of # Customers" fld="1" baseField="0"/>
  </dataFields>
</pivotTableDefinition>
</file>

<file path=xl/pivotTables/pivotTable4.xml><?xml version="1.0" encoding="utf-8"?>
<pivotTableDefinition xmlns="http://schemas.openxmlformats.org/spreadsheetml/2006/main" name="deciles 4" cacheId="0" dataCaption="" compact="0" compactData="0">
  <location ref="N16:P27" firstHeaderRow="0" firstDataRow="2" firstDataCol="0"/>
  <pivotFields>
    <pivotField name="Decil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# Customer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Transact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venu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fi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# customers2" compact="0" numFmtId="9" outline="0" multipleItemSelectionAllowed="1" showAll="0">
      <items>
        <item x="0"/>
        <item x="1"/>
        <item x="2"/>
        <item t="default"/>
      </items>
    </pivotField>
    <pivotField name="total transactions2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venue2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fit2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verage revenue per custome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verage profit per custome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OF AVerage order frequenc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rder Value =Revenue/Transaction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verage Margin =Profit/Revenue" dataField="1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colFields>
    <field x="-2"/>
  </colFields>
  <dataFields>
    <dataField name="SUM of Order Value =Revenue/Transactions" fld="12" baseField="0"/>
    <dataField name="SUM of Average Margin =Profit/Revenue" fld="1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10" max="15" width="16.88"/>
  </cols>
  <sheetData>
    <row r="1">
      <c r="F1" s="1" t="s">
        <v>0</v>
      </c>
      <c r="J1" s="2"/>
      <c r="K1" s="2"/>
      <c r="L1" s="2"/>
      <c r="M1" s="2"/>
      <c r="N1" s="2"/>
      <c r="O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2</v>
      </c>
      <c r="G2" s="3" t="s">
        <v>3</v>
      </c>
      <c r="H2" s="3" t="s">
        <v>4</v>
      </c>
      <c r="I2" s="3" t="s">
        <v>5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2"/>
    </row>
    <row r="3">
      <c r="A3" s="3">
        <v>1.0</v>
      </c>
      <c r="B3" s="5">
        <v>3180.0</v>
      </c>
      <c r="C3" s="5">
        <v>17503.0</v>
      </c>
      <c r="D3" s="5">
        <v>1.28952505E8</v>
      </c>
      <c r="E3" s="5">
        <v>6.2160175E7</v>
      </c>
      <c r="F3" s="6">
        <v>0.1</v>
      </c>
      <c r="G3" s="7">
        <v>0.2857</v>
      </c>
      <c r="H3" s="7">
        <v>0.396</v>
      </c>
      <c r="I3" s="7">
        <v>0.3984</v>
      </c>
      <c r="J3" s="8">
        <f t="shared" ref="J3:K3" si="1">D3/B3</f>
        <v>40551.1022</v>
      </c>
      <c r="K3" s="8">
        <f t="shared" si="1"/>
        <v>3551.401188</v>
      </c>
      <c r="L3" s="9">
        <f t="shared" ref="L3:N3" si="2">C3/B3</f>
        <v>5.50408805</v>
      </c>
      <c r="M3" s="10">
        <f t="shared" si="2"/>
        <v>7367.45158</v>
      </c>
      <c r="N3" s="11">
        <f t="shared" si="2"/>
        <v>0.4820392981</v>
      </c>
      <c r="O3" s="2"/>
    </row>
    <row r="4">
      <c r="A4" s="3">
        <v>2.0</v>
      </c>
      <c r="B4" s="5">
        <v>3180.0</v>
      </c>
      <c r="C4" s="5">
        <v>8703.0</v>
      </c>
      <c r="D4" s="5">
        <v>5.5542905E7</v>
      </c>
      <c r="E4" s="5">
        <v>2.707903E7</v>
      </c>
      <c r="F4" s="6">
        <v>0.1</v>
      </c>
      <c r="G4" s="7">
        <v>0.1421</v>
      </c>
      <c r="H4" s="7">
        <v>0.1706</v>
      </c>
      <c r="I4" s="7">
        <v>0.1736</v>
      </c>
      <c r="J4" s="8">
        <f t="shared" ref="J4:K4" si="3">D4/B4</f>
        <v>17466.32233</v>
      </c>
      <c r="K4" s="8">
        <f t="shared" si="3"/>
        <v>3111.459267</v>
      </c>
      <c r="L4" s="9">
        <f t="shared" ref="L4:N4" si="4">C4/B4</f>
        <v>2.736792453</v>
      </c>
      <c r="M4" s="10">
        <f t="shared" si="4"/>
        <v>6382.04125</v>
      </c>
      <c r="N4" s="11">
        <f t="shared" si="4"/>
        <v>0.4875335563</v>
      </c>
      <c r="O4" s="2"/>
    </row>
    <row r="5">
      <c r="A5" s="3">
        <v>3.0</v>
      </c>
      <c r="B5" s="5">
        <v>3177.0</v>
      </c>
      <c r="C5" s="5">
        <v>6345.0</v>
      </c>
      <c r="D5" s="5">
        <v>3.8274225E7</v>
      </c>
      <c r="E5" s="5">
        <v>1.8722055E7</v>
      </c>
      <c r="F5" s="6">
        <v>0.1</v>
      </c>
      <c r="G5" s="7">
        <v>0.1036</v>
      </c>
      <c r="H5" s="7">
        <v>0.1175</v>
      </c>
      <c r="I5" s="7">
        <v>0.12</v>
      </c>
      <c r="J5" s="8">
        <f t="shared" ref="J5:K5" si="5">D5/B5</f>
        <v>12047.28517</v>
      </c>
      <c r="K5" s="8">
        <f t="shared" si="5"/>
        <v>2950.678487</v>
      </c>
      <c r="L5" s="9">
        <f t="shared" ref="L5:N5" si="6">C5/B5</f>
        <v>1.997167139</v>
      </c>
      <c r="M5" s="10">
        <f t="shared" si="6"/>
        <v>6032.186761</v>
      </c>
      <c r="N5" s="11">
        <f t="shared" si="6"/>
        <v>0.4891556916</v>
      </c>
      <c r="O5" s="2"/>
    </row>
    <row r="6">
      <c r="A6" s="3">
        <v>4.0</v>
      </c>
      <c r="B6" s="5">
        <v>3178.0</v>
      </c>
      <c r="C6" s="5">
        <v>5349.0</v>
      </c>
      <c r="D6" s="5">
        <v>2.901701E7</v>
      </c>
      <c r="E6" s="5">
        <v>1.3916595E7</v>
      </c>
      <c r="F6" s="6">
        <v>0.1</v>
      </c>
      <c r="G6" s="7">
        <v>0.0873</v>
      </c>
      <c r="H6" s="7">
        <v>0.0891</v>
      </c>
      <c r="I6" s="7">
        <v>0.0892</v>
      </c>
      <c r="J6" s="8">
        <f t="shared" ref="J6:K6" si="7">D6/B6</f>
        <v>9130.58842</v>
      </c>
      <c r="K6" s="8">
        <f t="shared" si="7"/>
        <v>2601.719013</v>
      </c>
      <c r="L6" s="9">
        <f t="shared" ref="L6:N6" si="8">C6/B6</f>
        <v>1.683134047</v>
      </c>
      <c r="M6" s="10">
        <f t="shared" si="8"/>
        <v>5424.75416</v>
      </c>
      <c r="N6" s="11">
        <f t="shared" si="8"/>
        <v>0.4796012753</v>
      </c>
      <c r="O6" s="2"/>
    </row>
    <row r="7">
      <c r="A7" s="3">
        <v>5.0</v>
      </c>
      <c r="B7" s="5">
        <v>3183.0</v>
      </c>
      <c r="C7" s="5">
        <v>4683.0</v>
      </c>
      <c r="D7" s="5">
        <v>2.2555225E7</v>
      </c>
      <c r="E7" s="5">
        <v>1.0734405E7</v>
      </c>
      <c r="F7" s="6">
        <v>0.1</v>
      </c>
      <c r="G7" s="7">
        <v>0.0764</v>
      </c>
      <c r="H7" s="7">
        <v>0.0693</v>
      </c>
      <c r="I7" s="7">
        <v>0.0688</v>
      </c>
      <c r="J7" s="8">
        <f t="shared" ref="J7:K7" si="9">D7/B7</f>
        <v>7086.153</v>
      </c>
      <c r="K7" s="8">
        <f t="shared" si="9"/>
        <v>2292.206919</v>
      </c>
      <c r="L7" s="9">
        <f t="shared" ref="L7:N7" si="10">C7/B7</f>
        <v>1.471253534</v>
      </c>
      <c r="M7" s="10">
        <f t="shared" si="10"/>
        <v>4816.405082</v>
      </c>
      <c r="N7" s="11">
        <f t="shared" si="10"/>
        <v>0.4759165559</v>
      </c>
      <c r="O7" s="2"/>
    </row>
    <row r="8">
      <c r="A8" s="3">
        <v>6.0</v>
      </c>
      <c r="B8" s="5">
        <v>3124.0</v>
      </c>
      <c r="C8" s="5">
        <v>4330.0</v>
      </c>
      <c r="D8" s="5">
        <v>1.7169955E7</v>
      </c>
      <c r="E8" s="5">
        <v>7948270.0</v>
      </c>
      <c r="F8" s="6">
        <v>0.1</v>
      </c>
      <c r="G8" s="7">
        <v>0.0707</v>
      </c>
      <c r="H8" s="7">
        <v>0.0527</v>
      </c>
      <c r="I8" s="7">
        <v>0.0509</v>
      </c>
      <c r="J8" s="8">
        <f t="shared" ref="J8:K8" si="11">D8/B8</f>
        <v>5496.144366</v>
      </c>
      <c r="K8" s="8">
        <f t="shared" si="11"/>
        <v>1835.628176</v>
      </c>
      <c r="L8" s="9">
        <f t="shared" ref="L8:N8" si="12">C8/B8</f>
        <v>1.386043534</v>
      </c>
      <c r="M8" s="10">
        <f t="shared" si="12"/>
        <v>3965.347575</v>
      </c>
      <c r="N8" s="11">
        <f t="shared" si="12"/>
        <v>0.462917346</v>
      </c>
      <c r="O8" s="2"/>
    </row>
    <row r="9">
      <c r="A9" s="3">
        <v>7.0</v>
      </c>
      <c r="B9" s="5">
        <v>3233.0</v>
      </c>
      <c r="C9" s="5">
        <v>4004.0</v>
      </c>
      <c r="D9" s="5">
        <v>1.347071E7</v>
      </c>
      <c r="E9" s="5">
        <v>6240025.0</v>
      </c>
      <c r="F9" s="6">
        <v>0.1</v>
      </c>
      <c r="G9" s="7">
        <v>0.0654</v>
      </c>
      <c r="H9" s="7">
        <v>0.0414</v>
      </c>
      <c r="I9" s="7">
        <v>0.04</v>
      </c>
      <c r="J9" s="8">
        <f t="shared" ref="J9:K9" si="13">D9/B9</f>
        <v>4166.628518</v>
      </c>
      <c r="K9" s="8">
        <f t="shared" si="13"/>
        <v>1558.447802</v>
      </c>
      <c r="L9" s="9">
        <f t="shared" ref="L9:N9" si="14">C9/B9</f>
        <v>1.238478194</v>
      </c>
      <c r="M9" s="10">
        <f t="shared" si="14"/>
        <v>3364.313187</v>
      </c>
      <c r="N9" s="11">
        <f t="shared" si="14"/>
        <v>0.4632291097</v>
      </c>
      <c r="O9" s="2"/>
    </row>
    <row r="10">
      <c r="A10" s="3">
        <v>8.0</v>
      </c>
      <c r="B10" s="5">
        <v>2996.0</v>
      </c>
      <c r="C10" s="5">
        <v>3414.0</v>
      </c>
      <c r="D10" s="5">
        <v>9381075.0</v>
      </c>
      <c r="E10" s="5">
        <v>4326685.0</v>
      </c>
      <c r="F10" s="6">
        <v>0.09</v>
      </c>
      <c r="G10" s="7">
        <v>0.0557</v>
      </c>
      <c r="H10" s="7">
        <v>0.0288</v>
      </c>
      <c r="I10" s="7">
        <v>0.0277</v>
      </c>
      <c r="J10" s="8">
        <f t="shared" ref="J10:K10" si="15">D10/B10</f>
        <v>3131.199933</v>
      </c>
      <c r="K10" s="8">
        <f t="shared" si="15"/>
        <v>1267.33597</v>
      </c>
      <c r="L10" s="9">
        <f t="shared" ref="L10:N10" si="16">C10/B10</f>
        <v>1.139519359</v>
      </c>
      <c r="M10" s="10">
        <f t="shared" si="16"/>
        <v>2747.825132</v>
      </c>
      <c r="N10" s="11">
        <f t="shared" si="16"/>
        <v>0.4612141999</v>
      </c>
      <c r="O10" s="2"/>
    </row>
    <row r="11">
      <c r="A11" s="3">
        <v>9.0</v>
      </c>
      <c r="B11" s="5">
        <v>3360.0</v>
      </c>
      <c r="C11" s="5">
        <v>3659.0</v>
      </c>
      <c r="D11" s="5">
        <v>7496500.0</v>
      </c>
      <c r="E11" s="5">
        <v>3334100.0</v>
      </c>
      <c r="F11" s="6">
        <v>0.11</v>
      </c>
      <c r="G11" s="7">
        <v>0.0597</v>
      </c>
      <c r="H11" s="7">
        <v>0.023</v>
      </c>
      <c r="I11" s="7">
        <v>0.0214</v>
      </c>
      <c r="J11" s="8">
        <f t="shared" ref="J11:K11" si="17">D11/B11</f>
        <v>2231.10119</v>
      </c>
      <c r="K11" s="8">
        <f t="shared" si="17"/>
        <v>911.2052473</v>
      </c>
      <c r="L11" s="9">
        <f t="shared" ref="L11:N11" si="18">C11/B11</f>
        <v>1.088988095</v>
      </c>
      <c r="M11" s="10">
        <f t="shared" si="18"/>
        <v>2048.783821</v>
      </c>
      <c r="N11" s="11">
        <f t="shared" si="18"/>
        <v>0.4447542186</v>
      </c>
      <c r="O11" s="2"/>
    </row>
    <row r="12">
      <c r="A12" s="3">
        <v>10.0</v>
      </c>
      <c r="B12" s="5">
        <v>3186.0</v>
      </c>
      <c r="C12" s="5">
        <v>3270.0</v>
      </c>
      <c r="D12" s="5">
        <v>3740550.0</v>
      </c>
      <c r="E12" s="5">
        <v>1554795.0</v>
      </c>
      <c r="F12" s="6">
        <v>0.1</v>
      </c>
      <c r="G12" s="7">
        <v>0.0534</v>
      </c>
      <c r="H12" s="7">
        <v>0.0115</v>
      </c>
      <c r="I12" s="7">
        <v>0.01</v>
      </c>
      <c r="J12" s="8">
        <f t="shared" ref="J12:K12" si="19">D12/B12</f>
        <v>1174.05838</v>
      </c>
      <c r="K12" s="8">
        <f t="shared" si="19"/>
        <v>475.4724771</v>
      </c>
      <c r="L12" s="9">
        <f t="shared" ref="L12:N12" si="20">C12/B12</f>
        <v>1.026365348</v>
      </c>
      <c r="M12" s="10">
        <f t="shared" si="20"/>
        <v>1143.899083</v>
      </c>
      <c r="N12" s="11">
        <f t="shared" si="20"/>
        <v>0.4156594618</v>
      </c>
      <c r="O12" s="2"/>
    </row>
    <row r="13">
      <c r="A13" s="3" t="s">
        <v>11</v>
      </c>
      <c r="B13" s="5">
        <v>31797.0</v>
      </c>
      <c r="C13" s="5">
        <v>61260.0</v>
      </c>
      <c r="D13" s="5">
        <v>3.2560066E8</v>
      </c>
      <c r="E13" s="5">
        <v>1.56016135E8</v>
      </c>
      <c r="F13" s="7">
        <v>1.0</v>
      </c>
      <c r="G13" s="7">
        <v>1.0</v>
      </c>
      <c r="H13" s="7">
        <v>1.0</v>
      </c>
      <c r="I13" s="7">
        <v>1.0</v>
      </c>
      <c r="J13" s="12"/>
      <c r="K13" s="8">
        <f>E13/C13</f>
        <v>2546.786402</v>
      </c>
      <c r="L13" s="9">
        <f t="shared" ref="L13:N13" si="21">C13/B13</f>
        <v>1.926596849</v>
      </c>
      <c r="M13" s="10">
        <f t="shared" si="21"/>
        <v>5315.061378</v>
      </c>
      <c r="N13" s="11">
        <f t="shared" si="21"/>
        <v>0.4791640625</v>
      </c>
      <c r="O13" s="2"/>
    </row>
    <row r="14">
      <c r="J14" s="2"/>
      <c r="K14" s="2"/>
      <c r="L14" s="2"/>
      <c r="M14" s="2"/>
      <c r="N14" s="2"/>
      <c r="O14" s="2"/>
    </row>
    <row r="15">
      <c r="A15" s="13" t="s">
        <v>12</v>
      </c>
      <c r="F15" s="14" t="s">
        <v>13</v>
      </c>
      <c r="J15" s="15" t="s">
        <v>14</v>
      </c>
      <c r="M15" s="2"/>
      <c r="N15" s="13" t="s">
        <v>15</v>
      </c>
    </row>
    <row r="16">
      <c r="M16" s="2"/>
    </row>
    <row r="17">
      <c r="M17" s="2"/>
    </row>
    <row r="18">
      <c r="M18" s="2"/>
    </row>
    <row r="19">
      <c r="M19" s="2"/>
    </row>
    <row r="20">
      <c r="M20" s="2"/>
    </row>
    <row r="21">
      <c r="M21" s="2"/>
    </row>
    <row r="22">
      <c r="M22" s="2"/>
    </row>
    <row r="23">
      <c r="M23" s="2"/>
    </row>
    <row r="24">
      <c r="M24" s="2"/>
    </row>
    <row r="25">
      <c r="M25" s="2"/>
    </row>
    <row r="26">
      <c r="M26" s="2"/>
    </row>
    <row r="27">
      <c r="M27" s="2"/>
    </row>
    <row r="28">
      <c r="J28" s="2"/>
      <c r="K28" s="2"/>
      <c r="L28" s="2"/>
      <c r="M28" s="2"/>
      <c r="N28" s="2"/>
      <c r="O28" s="2"/>
    </row>
    <row r="29">
      <c r="J29" s="2"/>
      <c r="K29" s="2"/>
      <c r="L29" s="2"/>
      <c r="M29" s="2"/>
      <c r="N29" s="2"/>
      <c r="O29" s="2"/>
    </row>
    <row r="30">
      <c r="J30" s="2"/>
      <c r="K30" s="2"/>
      <c r="L30" s="2"/>
      <c r="M30" s="2"/>
      <c r="N30" s="2"/>
      <c r="O30" s="2"/>
    </row>
    <row r="31">
      <c r="J31" s="2"/>
      <c r="K31" s="2"/>
      <c r="L31" s="2"/>
      <c r="M31" s="2"/>
      <c r="N31" s="2"/>
      <c r="O31" s="2"/>
    </row>
    <row r="32">
      <c r="J32" s="2"/>
      <c r="K32" s="2"/>
      <c r="L32" s="2"/>
      <c r="M32" s="2"/>
      <c r="N32" s="2"/>
      <c r="O32" s="2"/>
    </row>
    <row r="33">
      <c r="J33" s="2"/>
      <c r="K33" s="2"/>
      <c r="L33" s="2"/>
      <c r="M33" s="2"/>
      <c r="N33" s="2"/>
      <c r="O33" s="2"/>
    </row>
    <row r="34">
      <c r="J34" s="2"/>
      <c r="K34" s="2"/>
      <c r="L34" s="2"/>
      <c r="M34" s="2"/>
      <c r="N34" s="2"/>
      <c r="O34" s="2"/>
    </row>
    <row r="35">
      <c r="J35" s="2"/>
      <c r="K35" s="2"/>
      <c r="L35" s="2"/>
      <c r="M35" s="2"/>
      <c r="N35" s="2"/>
      <c r="O35" s="2"/>
    </row>
    <row r="36">
      <c r="J36" s="2"/>
      <c r="K36" s="2"/>
      <c r="L36" s="2"/>
      <c r="M36" s="2"/>
      <c r="N36" s="2"/>
      <c r="O36" s="2"/>
    </row>
    <row r="37">
      <c r="J37" s="2"/>
      <c r="K37" s="2"/>
      <c r="L37" s="2"/>
      <c r="M37" s="2"/>
      <c r="N37" s="2"/>
      <c r="O37" s="2"/>
    </row>
    <row r="38">
      <c r="J38" s="2"/>
      <c r="K38" s="2"/>
      <c r="L38" s="2"/>
      <c r="M38" s="2"/>
      <c r="N38" s="2"/>
      <c r="O38" s="2"/>
    </row>
    <row r="39">
      <c r="J39" s="2"/>
      <c r="K39" s="2"/>
      <c r="L39" s="2"/>
      <c r="M39" s="2"/>
      <c r="N39" s="2"/>
      <c r="O39" s="2"/>
    </row>
    <row r="40">
      <c r="J40" s="2"/>
      <c r="K40" s="2"/>
      <c r="L40" s="2"/>
      <c r="M40" s="2"/>
      <c r="N40" s="2"/>
      <c r="O40" s="2"/>
    </row>
    <row r="41">
      <c r="J41" s="2"/>
      <c r="K41" s="2"/>
      <c r="L41" s="2"/>
      <c r="M41" s="2"/>
      <c r="N41" s="2"/>
      <c r="O41" s="2"/>
    </row>
    <row r="42">
      <c r="J42" s="2"/>
      <c r="K42" s="2"/>
      <c r="L42" s="2"/>
      <c r="M42" s="2"/>
      <c r="N42" s="2"/>
      <c r="O42" s="2"/>
    </row>
    <row r="43">
      <c r="J43" s="2"/>
      <c r="K43" s="2"/>
      <c r="L43" s="2"/>
      <c r="M43" s="2"/>
      <c r="N43" s="2"/>
      <c r="O43" s="2"/>
    </row>
    <row r="44">
      <c r="J44" s="2"/>
      <c r="K44" s="2"/>
      <c r="L44" s="2"/>
      <c r="M44" s="2"/>
      <c r="N44" s="2"/>
      <c r="O44" s="2"/>
    </row>
    <row r="45">
      <c r="J45" s="2"/>
      <c r="K45" s="2"/>
      <c r="L45" s="2"/>
      <c r="M45" s="2"/>
      <c r="N45" s="2"/>
      <c r="O45" s="2"/>
    </row>
    <row r="46">
      <c r="J46" s="2"/>
      <c r="K46" s="2"/>
      <c r="L46" s="2"/>
      <c r="M46" s="2"/>
      <c r="N46" s="2"/>
      <c r="O46" s="2"/>
    </row>
    <row r="47">
      <c r="J47" s="2"/>
      <c r="K47" s="2"/>
      <c r="L47" s="2"/>
      <c r="M47" s="2"/>
      <c r="N47" s="2"/>
      <c r="O47" s="2"/>
    </row>
    <row r="48">
      <c r="J48" s="2"/>
      <c r="K48" s="2"/>
      <c r="L48" s="2"/>
      <c r="M48" s="2"/>
      <c r="N48" s="2"/>
      <c r="O48" s="2"/>
    </row>
    <row r="49">
      <c r="J49" s="2"/>
      <c r="K49" s="2"/>
      <c r="L49" s="2"/>
      <c r="M49" s="2"/>
      <c r="N49" s="2"/>
      <c r="O49" s="2"/>
    </row>
    <row r="50">
      <c r="J50" s="2"/>
      <c r="K50" s="2"/>
      <c r="L50" s="2"/>
      <c r="M50" s="2"/>
      <c r="N50" s="2"/>
      <c r="O50" s="2"/>
    </row>
    <row r="51">
      <c r="J51" s="2"/>
      <c r="K51" s="2"/>
      <c r="L51" s="2"/>
      <c r="M51" s="2"/>
      <c r="N51" s="2"/>
      <c r="O51" s="2"/>
    </row>
    <row r="52">
      <c r="J52" s="2"/>
      <c r="K52" s="2"/>
      <c r="L52" s="2"/>
      <c r="M52" s="2"/>
      <c r="N52" s="2"/>
      <c r="O52" s="2"/>
    </row>
    <row r="53">
      <c r="J53" s="2"/>
      <c r="K53" s="2"/>
      <c r="L53" s="2"/>
      <c r="M53" s="2"/>
      <c r="N53" s="2"/>
      <c r="O53" s="2"/>
    </row>
    <row r="54">
      <c r="J54" s="2"/>
      <c r="K54" s="2"/>
      <c r="L54" s="2"/>
      <c r="M54" s="2"/>
      <c r="N54" s="2"/>
      <c r="O54" s="2"/>
    </row>
    <row r="55">
      <c r="J55" s="2"/>
      <c r="K55" s="2"/>
      <c r="L55" s="2"/>
      <c r="M55" s="2"/>
      <c r="N55" s="2"/>
      <c r="O55" s="2"/>
    </row>
    <row r="56">
      <c r="J56" s="2"/>
      <c r="K56" s="2"/>
      <c r="L56" s="2"/>
      <c r="M56" s="2"/>
      <c r="N56" s="2"/>
      <c r="O56" s="2"/>
    </row>
    <row r="57">
      <c r="J57" s="2"/>
      <c r="K57" s="2"/>
      <c r="L57" s="2"/>
      <c r="M57" s="2"/>
      <c r="N57" s="2"/>
      <c r="O57" s="2"/>
    </row>
    <row r="58">
      <c r="J58" s="2"/>
      <c r="K58" s="2"/>
      <c r="L58" s="2"/>
      <c r="M58" s="2"/>
      <c r="N58" s="2"/>
      <c r="O58" s="2"/>
    </row>
    <row r="59">
      <c r="J59" s="2"/>
      <c r="K59" s="2"/>
      <c r="L59" s="2"/>
      <c r="M59" s="2"/>
      <c r="N59" s="2"/>
      <c r="O59" s="2"/>
    </row>
    <row r="60">
      <c r="J60" s="2"/>
      <c r="K60" s="2"/>
      <c r="L60" s="2"/>
      <c r="M60" s="2"/>
      <c r="N60" s="2"/>
      <c r="O60" s="2"/>
    </row>
    <row r="61">
      <c r="J61" s="2"/>
      <c r="K61" s="2"/>
      <c r="L61" s="2"/>
      <c r="M61" s="2"/>
      <c r="N61" s="2"/>
      <c r="O61" s="2"/>
    </row>
    <row r="62">
      <c r="J62" s="2"/>
      <c r="K62" s="2"/>
      <c r="L62" s="2"/>
      <c r="M62" s="2"/>
      <c r="N62" s="2"/>
      <c r="O62" s="2"/>
    </row>
    <row r="63">
      <c r="J63" s="2"/>
      <c r="K63" s="2"/>
      <c r="L63" s="2"/>
      <c r="M63" s="2"/>
      <c r="N63" s="2"/>
      <c r="O63" s="2"/>
    </row>
    <row r="64">
      <c r="J64" s="2"/>
      <c r="K64" s="2"/>
      <c r="L64" s="2"/>
      <c r="M64" s="2"/>
      <c r="N64" s="2"/>
      <c r="O64" s="2"/>
    </row>
    <row r="65">
      <c r="J65" s="2"/>
      <c r="K65" s="2"/>
      <c r="L65" s="2"/>
      <c r="M65" s="2"/>
      <c r="N65" s="2"/>
      <c r="O65" s="2"/>
    </row>
    <row r="66">
      <c r="J66" s="2"/>
      <c r="K66" s="2"/>
      <c r="L66" s="2"/>
      <c r="M66" s="2"/>
      <c r="N66" s="2"/>
      <c r="O66" s="2"/>
    </row>
    <row r="67">
      <c r="J67" s="2"/>
      <c r="K67" s="2"/>
      <c r="L67" s="2"/>
      <c r="M67" s="2"/>
      <c r="N67" s="2"/>
      <c r="O67" s="2"/>
    </row>
    <row r="68">
      <c r="J68" s="2"/>
      <c r="K68" s="2"/>
      <c r="L68" s="2"/>
      <c r="M68" s="2"/>
      <c r="N68" s="2"/>
      <c r="O68" s="2"/>
    </row>
    <row r="69">
      <c r="J69" s="2"/>
      <c r="K69" s="2"/>
      <c r="L69" s="2"/>
      <c r="M69" s="2"/>
      <c r="N69" s="2"/>
      <c r="O69" s="2"/>
    </row>
    <row r="70">
      <c r="J70" s="2"/>
      <c r="K70" s="2"/>
      <c r="L70" s="2"/>
      <c r="M70" s="2"/>
      <c r="N70" s="2"/>
      <c r="O70" s="2"/>
    </row>
    <row r="71">
      <c r="J71" s="2"/>
      <c r="K71" s="2"/>
      <c r="L71" s="2"/>
      <c r="M71" s="2"/>
      <c r="N71" s="2"/>
      <c r="O71" s="2"/>
    </row>
    <row r="72">
      <c r="J72" s="2"/>
      <c r="K72" s="2"/>
      <c r="L72" s="2"/>
      <c r="M72" s="2"/>
      <c r="N72" s="2"/>
      <c r="O72" s="2"/>
    </row>
    <row r="73">
      <c r="J73" s="2"/>
      <c r="K73" s="2"/>
      <c r="L73" s="2"/>
      <c r="M73" s="2"/>
      <c r="N73" s="2"/>
      <c r="O73" s="2"/>
    </row>
    <row r="74">
      <c r="J74" s="2"/>
      <c r="K74" s="2"/>
      <c r="L74" s="2"/>
      <c r="M74" s="2"/>
      <c r="N74" s="2"/>
      <c r="O74" s="2"/>
    </row>
    <row r="75">
      <c r="J75" s="2"/>
      <c r="K75" s="2"/>
      <c r="L75" s="2"/>
      <c r="M75" s="2"/>
      <c r="N75" s="2"/>
      <c r="O75" s="2"/>
    </row>
    <row r="76">
      <c r="J76" s="2"/>
      <c r="K76" s="2"/>
      <c r="L76" s="2"/>
      <c r="M76" s="2"/>
      <c r="N76" s="2"/>
      <c r="O76" s="2"/>
    </row>
    <row r="77">
      <c r="J77" s="2"/>
      <c r="K77" s="2"/>
      <c r="L77" s="2"/>
      <c r="M77" s="2"/>
      <c r="N77" s="2"/>
      <c r="O77" s="2"/>
    </row>
    <row r="78">
      <c r="J78" s="2"/>
      <c r="K78" s="2"/>
      <c r="L78" s="2"/>
      <c r="M78" s="2"/>
      <c r="N78" s="2"/>
      <c r="O78" s="2"/>
    </row>
    <row r="79">
      <c r="J79" s="2"/>
      <c r="K79" s="2"/>
      <c r="L79" s="2"/>
      <c r="M79" s="2"/>
      <c r="N79" s="2"/>
      <c r="O79" s="2"/>
    </row>
    <row r="80">
      <c r="J80" s="2"/>
      <c r="K80" s="2"/>
      <c r="L80" s="2"/>
      <c r="M80" s="2"/>
      <c r="N80" s="2"/>
      <c r="O80" s="2"/>
    </row>
    <row r="81">
      <c r="J81" s="2"/>
      <c r="K81" s="2"/>
      <c r="L81" s="2"/>
      <c r="M81" s="2"/>
      <c r="N81" s="2"/>
      <c r="O81" s="2"/>
    </row>
    <row r="82">
      <c r="J82" s="2"/>
      <c r="K82" s="2"/>
      <c r="L82" s="2"/>
      <c r="M82" s="2"/>
      <c r="N82" s="2"/>
      <c r="O82" s="2"/>
    </row>
    <row r="83">
      <c r="J83" s="2"/>
      <c r="K83" s="2"/>
      <c r="L83" s="2"/>
      <c r="M83" s="2"/>
      <c r="N83" s="2"/>
      <c r="O83" s="2"/>
    </row>
    <row r="84">
      <c r="J84" s="2"/>
      <c r="K84" s="2"/>
      <c r="L84" s="2"/>
      <c r="M84" s="2"/>
      <c r="N84" s="2"/>
      <c r="O84" s="2"/>
    </row>
    <row r="85">
      <c r="J85" s="2"/>
      <c r="K85" s="2"/>
      <c r="L85" s="2"/>
      <c r="M85" s="2"/>
      <c r="N85" s="2"/>
      <c r="O85" s="2"/>
    </row>
    <row r="86">
      <c r="J86" s="2"/>
      <c r="K86" s="2"/>
      <c r="L86" s="2"/>
      <c r="M86" s="2"/>
      <c r="N86" s="2"/>
      <c r="O86" s="2"/>
    </row>
    <row r="87">
      <c r="J87" s="2"/>
      <c r="K87" s="2"/>
      <c r="L87" s="2"/>
      <c r="M87" s="2"/>
      <c r="N87" s="2"/>
      <c r="O87" s="2"/>
    </row>
    <row r="88">
      <c r="J88" s="2"/>
      <c r="K88" s="2"/>
      <c r="L88" s="2"/>
      <c r="M88" s="2"/>
      <c r="N88" s="2"/>
      <c r="O88" s="2"/>
    </row>
    <row r="89">
      <c r="J89" s="2"/>
      <c r="K89" s="2"/>
      <c r="L89" s="2"/>
      <c r="M89" s="2"/>
      <c r="N89" s="2"/>
      <c r="O89" s="2"/>
    </row>
    <row r="90">
      <c r="J90" s="2"/>
      <c r="K90" s="2"/>
      <c r="L90" s="2"/>
      <c r="M90" s="2"/>
      <c r="N90" s="2"/>
      <c r="O90" s="2"/>
    </row>
    <row r="91">
      <c r="J91" s="2"/>
      <c r="K91" s="2"/>
      <c r="L91" s="2"/>
      <c r="M91" s="2"/>
      <c r="N91" s="2"/>
      <c r="O91" s="2"/>
    </row>
    <row r="92">
      <c r="J92" s="2"/>
      <c r="K92" s="2"/>
      <c r="L92" s="2"/>
      <c r="M92" s="2"/>
      <c r="N92" s="2"/>
      <c r="O92" s="2"/>
    </row>
    <row r="93">
      <c r="J93" s="2"/>
      <c r="K93" s="2"/>
      <c r="L93" s="2"/>
      <c r="M93" s="2"/>
      <c r="N93" s="2"/>
      <c r="O93" s="2"/>
    </row>
    <row r="94">
      <c r="J94" s="2"/>
      <c r="K94" s="2"/>
      <c r="L94" s="2"/>
      <c r="M94" s="2"/>
      <c r="N94" s="2"/>
      <c r="O94" s="2"/>
    </row>
    <row r="95">
      <c r="J95" s="2"/>
      <c r="K95" s="2"/>
      <c r="L95" s="2"/>
      <c r="M95" s="2"/>
      <c r="N95" s="2"/>
      <c r="O95" s="2"/>
    </row>
    <row r="96">
      <c r="J96" s="2"/>
      <c r="K96" s="2"/>
      <c r="L96" s="2"/>
      <c r="M96" s="2"/>
      <c r="N96" s="2"/>
      <c r="O96" s="2"/>
    </row>
    <row r="97">
      <c r="J97" s="2"/>
      <c r="K97" s="2"/>
      <c r="L97" s="2"/>
      <c r="M97" s="2"/>
      <c r="N97" s="2"/>
      <c r="O97" s="2"/>
    </row>
    <row r="98">
      <c r="J98" s="2"/>
      <c r="K98" s="2"/>
      <c r="L98" s="2"/>
      <c r="M98" s="2"/>
      <c r="N98" s="2"/>
      <c r="O98" s="2"/>
    </row>
    <row r="99">
      <c r="J99" s="2"/>
      <c r="K99" s="2"/>
      <c r="L99" s="2"/>
      <c r="M99" s="2"/>
      <c r="N99" s="2"/>
      <c r="O99" s="2"/>
    </row>
    <row r="100">
      <c r="J100" s="2"/>
      <c r="K100" s="2"/>
      <c r="L100" s="2"/>
      <c r="M100" s="2"/>
      <c r="N100" s="2"/>
      <c r="O100" s="2"/>
    </row>
    <row r="101">
      <c r="J101" s="2"/>
      <c r="K101" s="2"/>
      <c r="L101" s="2"/>
      <c r="M101" s="2"/>
      <c r="N101" s="2"/>
      <c r="O101" s="2"/>
    </row>
    <row r="102">
      <c r="J102" s="2"/>
      <c r="K102" s="2"/>
      <c r="L102" s="2"/>
      <c r="M102" s="2"/>
      <c r="N102" s="2"/>
      <c r="O102" s="2"/>
    </row>
    <row r="103">
      <c r="J103" s="2"/>
      <c r="K103" s="2"/>
      <c r="L103" s="2"/>
      <c r="M103" s="2"/>
      <c r="N103" s="2"/>
      <c r="O103" s="2"/>
    </row>
    <row r="104">
      <c r="J104" s="2"/>
      <c r="K104" s="2"/>
      <c r="L104" s="2"/>
      <c r="M104" s="2"/>
      <c r="N104" s="2"/>
      <c r="O104" s="2"/>
    </row>
    <row r="105">
      <c r="J105" s="2"/>
      <c r="K105" s="2"/>
      <c r="L105" s="2"/>
      <c r="M105" s="2"/>
      <c r="N105" s="2"/>
      <c r="O105" s="2"/>
    </row>
    <row r="106">
      <c r="J106" s="2"/>
      <c r="K106" s="2"/>
      <c r="L106" s="2"/>
      <c r="M106" s="2"/>
      <c r="N106" s="2"/>
      <c r="O106" s="2"/>
    </row>
    <row r="107">
      <c r="J107" s="2"/>
      <c r="K107" s="2"/>
      <c r="L107" s="2"/>
      <c r="M107" s="2"/>
      <c r="N107" s="2"/>
      <c r="O107" s="2"/>
    </row>
    <row r="108">
      <c r="J108" s="2"/>
      <c r="K108" s="2"/>
      <c r="L108" s="2"/>
      <c r="M108" s="2"/>
      <c r="N108" s="2"/>
      <c r="O108" s="2"/>
    </row>
    <row r="109">
      <c r="J109" s="2"/>
      <c r="K109" s="2"/>
      <c r="L109" s="2"/>
      <c r="M109" s="2"/>
      <c r="N109" s="2"/>
      <c r="O109" s="2"/>
    </row>
    <row r="110">
      <c r="J110" s="2"/>
      <c r="K110" s="2"/>
      <c r="L110" s="2"/>
      <c r="M110" s="2"/>
      <c r="N110" s="2"/>
      <c r="O110" s="2"/>
    </row>
    <row r="111">
      <c r="J111" s="2"/>
      <c r="K111" s="2"/>
      <c r="L111" s="2"/>
      <c r="M111" s="2"/>
      <c r="N111" s="2"/>
      <c r="O111" s="2"/>
    </row>
    <row r="112">
      <c r="J112" s="2"/>
      <c r="K112" s="2"/>
      <c r="L112" s="2"/>
      <c r="M112" s="2"/>
      <c r="N112" s="2"/>
      <c r="O112" s="2"/>
    </row>
    <row r="113">
      <c r="J113" s="2"/>
      <c r="K113" s="2"/>
      <c r="L113" s="2"/>
      <c r="M113" s="2"/>
      <c r="N113" s="2"/>
      <c r="O113" s="2"/>
    </row>
    <row r="114">
      <c r="J114" s="2"/>
      <c r="K114" s="2"/>
      <c r="L114" s="2"/>
      <c r="M114" s="2"/>
      <c r="N114" s="2"/>
      <c r="O114" s="2"/>
    </row>
    <row r="115">
      <c r="J115" s="2"/>
      <c r="K115" s="2"/>
      <c r="L115" s="2"/>
      <c r="M115" s="2"/>
      <c r="N115" s="2"/>
      <c r="O115" s="2"/>
    </row>
    <row r="116">
      <c r="J116" s="2"/>
      <c r="K116" s="2"/>
      <c r="L116" s="2"/>
      <c r="M116" s="2"/>
      <c r="N116" s="2"/>
      <c r="O116" s="2"/>
    </row>
    <row r="117">
      <c r="J117" s="2"/>
      <c r="K117" s="2"/>
      <c r="L117" s="2"/>
      <c r="M117" s="2"/>
      <c r="N117" s="2"/>
      <c r="O117" s="2"/>
    </row>
    <row r="118">
      <c r="J118" s="2"/>
      <c r="K118" s="2"/>
      <c r="L118" s="2"/>
      <c r="M118" s="2"/>
      <c r="N118" s="2"/>
      <c r="O118" s="2"/>
    </row>
    <row r="119">
      <c r="J119" s="2"/>
      <c r="K119" s="2"/>
      <c r="L119" s="2"/>
      <c r="M119" s="2"/>
      <c r="N119" s="2"/>
      <c r="O119" s="2"/>
    </row>
    <row r="120">
      <c r="J120" s="2"/>
      <c r="K120" s="2"/>
      <c r="L120" s="2"/>
      <c r="M120" s="2"/>
      <c r="N120" s="2"/>
      <c r="O120" s="2"/>
    </row>
    <row r="121">
      <c r="J121" s="2"/>
      <c r="K121" s="2"/>
      <c r="L121" s="2"/>
      <c r="M121" s="2"/>
      <c r="N121" s="2"/>
      <c r="O121" s="2"/>
    </row>
    <row r="122">
      <c r="J122" s="2"/>
      <c r="K122" s="2"/>
      <c r="L122" s="2"/>
      <c r="M122" s="2"/>
      <c r="N122" s="2"/>
      <c r="O122" s="2"/>
    </row>
    <row r="123">
      <c r="J123" s="2"/>
      <c r="K123" s="2"/>
      <c r="L123" s="2"/>
      <c r="M123" s="2"/>
      <c r="N123" s="2"/>
      <c r="O123" s="2"/>
    </row>
    <row r="124">
      <c r="J124" s="2"/>
      <c r="K124" s="2"/>
      <c r="L124" s="2"/>
      <c r="M124" s="2"/>
      <c r="N124" s="2"/>
      <c r="O124" s="2"/>
    </row>
    <row r="125">
      <c r="J125" s="2"/>
      <c r="K125" s="2"/>
      <c r="L125" s="2"/>
      <c r="M125" s="2"/>
      <c r="N125" s="2"/>
      <c r="O125" s="2"/>
    </row>
    <row r="126">
      <c r="J126" s="2"/>
      <c r="K126" s="2"/>
      <c r="L126" s="2"/>
      <c r="M126" s="2"/>
      <c r="N126" s="2"/>
      <c r="O126" s="2"/>
    </row>
    <row r="127">
      <c r="J127" s="2"/>
      <c r="K127" s="2"/>
      <c r="L127" s="2"/>
      <c r="M127" s="2"/>
      <c r="N127" s="2"/>
      <c r="O127" s="2"/>
    </row>
    <row r="128">
      <c r="J128" s="2"/>
      <c r="K128" s="2"/>
      <c r="L128" s="2"/>
      <c r="M128" s="2"/>
      <c r="N128" s="2"/>
      <c r="O128" s="2"/>
    </row>
    <row r="129">
      <c r="J129" s="2"/>
      <c r="K129" s="2"/>
      <c r="L129" s="2"/>
      <c r="M129" s="2"/>
      <c r="N129" s="2"/>
      <c r="O129" s="2"/>
    </row>
    <row r="130">
      <c r="J130" s="2"/>
      <c r="K130" s="2"/>
      <c r="L130" s="2"/>
      <c r="M130" s="2"/>
      <c r="N130" s="2"/>
      <c r="O130" s="2"/>
    </row>
    <row r="131">
      <c r="J131" s="2"/>
      <c r="K131" s="2"/>
      <c r="L131" s="2"/>
      <c r="M131" s="2"/>
      <c r="N131" s="2"/>
      <c r="O131" s="2"/>
    </row>
    <row r="132">
      <c r="J132" s="2"/>
      <c r="K132" s="2"/>
      <c r="L132" s="2"/>
      <c r="M132" s="2"/>
      <c r="N132" s="2"/>
      <c r="O132" s="2"/>
    </row>
    <row r="133">
      <c r="J133" s="2"/>
      <c r="K133" s="2"/>
      <c r="L133" s="2"/>
      <c r="M133" s="2"/>
      <c r="N133" s="2"/>
      <c r="O133" s="2"/>
    </row>
    <row r="134">
      <c r="J134" s="2"/>
      <c r="K134" s="2"/>
      <c r="L134" s="2"/>
      <c r="M134" s="2"/>
      <c r="N134" s="2"/>
      <c r="O134" s="2"/>
    </row>
    <row r="135">
      <c r="J135" s="2"/>
      <c r="K135" s="2"/>
      <c r="L135" s="2"/>
      <c r="M135" s="2"/>
      <c r="N135" s="2"/>
      <c r="O135" s="2"/>
    </row>
    <row r="136">
      <c r="J136" s="2"/>
      <c r="K136" s="2"/>
      <c r="L136" s="2"/>
      <c r="M136" s="2"/>
      <c r="N136" s="2"/>
      <c r="O136" s="2"/>
    </row>
    <row r="137">
      <c r="J137" s="2"/>
      <c r="K137" s="2"/>
      <c r="L137" s="2"/>
      <c r="M137" s="2"/>
      <c r="N137" s="2"/>
      <c r="O137" s="2"/>
    </row>
    <row r="138">
      <c r="J138" s="2"/>
      <c r="K138" s="2"/>
      <c r="L138" s="2"/>
      <c r="M138" s="2"/>
      <c r="N138" s="2"/>
      <c r="O138" s="2"/>
    </row>
    <row r="139">
      <c r="J139" s="2"/>
      <c r="K139" s="2"/>
      <c r="L139" s="2"/>
      <c r="M139" s="2"/>
      <c r="N139" s="2"/>
      <c r="O139" s="2"/>
    </row>
    <row r="140">
      <c r="J140" s="2"/>
      <c r="K140" s="2"/>
      <c r="L140" s="2"/>
      <c r="M140" s="2"/>
      <c r="N140" s="2"/>
      <c r="O140" s="2"/>
    </row>
    <row r="141">
      <c r="J141" s="2"/>
      <c r="K141" s="2"/>
      <c r="L141" s="2"/>
      <c r="M141" s="2"/>
      <c r="N141" s="2"/>
      <c r="O141" s="2"/>
    </row>
    <row r="142">
      <c r="J142" s="2"/>
      <c r="K142" s="2"/>
      <c r="L142" s="2"/>
      <c r="M142" s="2"/>
      <c r="N142" s="2"/>
      <c r="O142" s="2"/>
    </row>
    <row r="143">
      <c r="J143" s="2"/>
      <c r="K143" s="2"/>
      <c r="L143" s="2"/>
      <c r="M143" s="2"/>
      <c r="N143" s="2"/>
      <c r="O143" s="2"/>
    </row>
    <row r="144">
      <c r="J144" s="2"/>
      <c r="K144" s="2"/>
      <c r="L144" s="2"/>
      <c r="M144" s="2"/>
      <c r="N144" s="2"/>
      <c r="O144" s="2"/>
    </row>
    <row r="145">
      <c r="J145" s="2"/>
      <c r="K145" s="2"/>
      <c r="L145" s="2"/>
      <c r="M145" s="2"/>
      <c r="N145" s="2"/>
      <c r="O145" s="2"/>
    </row>
    <row r="146">
      <c r="J146" s="2"/>
      <c r="K146" s="2"/>
      <c r="L146" s="2"/>
      <c r="M146" s="2"/>
      <c r="N146" s="2"/>
      <c r="O146" s="2"/>
    </row>
    <row r="147">
      <c r="J147" s="2"/>
      <c r="K147" s="2"/>
      <c r="L147" s="2"/>
      <c r="M147" s="2"/>
      <c r="N147" s="2"/>
      <c r="O147" s="2"/>
    </row>
    <row r="148">
      <c r="J148" s="2"/>
      <c r="K148" s="2"/>
      <c r="L148" s="2"/>
      <c r="M148" s="2"/>
      <c r="N148" s="2"/>
      <c r="O148" s="2"/>
    </row>
    <row r="149">
      <c r="J149" s="2"/>
      <c r="K149" s="2"/>
      <c r="L149" s="2"/>
      <c r="M149" s="2"/>
      <c r="N149" s="2"/>
      <c r="O149" s="2"/>
    </row>
    <row r="150">
      <c r="J150" s="2"/>
      <c r="K150" s="2"/>
      <c r="L150" s="2"/>
      <c r="M150" s="2"/>
      <c r="N150" s="2"/>
      <c r="O150" s="2"/>
    </row>
    <row r="151">
      <c r="J151" s="2"/>
      <c r="K151" s="2"/>
      <c r="L151" s="2"/>
      <c r="M151" s="2"/>
      <c r="N151" s="2"/>
      <c r="O151" s="2"/>
    </row>
    <row r="152">
      <c r="J152" s="2"/>
      <c r="K152" s="2"/>
      <c r="L152" s="2"/>
      <c r="M152" s="2"/>
      <c r="N152" s="2"/>
      <c r="O152" s="2"/>
    </row>
    <row r="153">
      <c r="J153" s="2"/>
      <c r="K153" s="2"/>
      <c r="L153" s="2"/>
      <c r="M153" s="2"/>
      <c r="N153" s="2"/>
      <c r="O153" s="2"/>
    </row>
    <row r="154">
      <c r="J154" s="2"/>
      <c r="K154" s="2"/>
      <c r="L154" s="2"/>
      <c r="M154" s="2"/>
      <c r="N154" s="2"/>
      <c r="O154" s="2"/>
    </row>
    <row r="155">
      <c r="J155" s="2"/>
      <c r="K155" s="2"/>
      <c r="L155" s="2"/>
      <c r="M155" s="2"/>
      <c r="N155" s="2"/>
      <c r="O155" s="2"/>
    </row>
    <row r="156">
      <c r="J156" s="2"/>
      <c r="K156" s="2"/>
      <c r="L156" s="2"/>
      <c r="M156" s="2"/>
      <c r="N156" s="2"/>
      <c r="O156" s="2"/>
    </row>
    <row r="157">
      <c r="J157" s="2"/>
      <c r="K157" s="2"/>
      <c r="L157" s="2"/>
      <c r="M157" s="2"/>
      <c r="N157" s="2"/>
      <c r="O157" s="2"/>
    </row>
    <row r="158">
      <c r="J158" s="2"/>
      <c r="K158" s="2"/>
      <c r="L158" s="2"/>
      <c r="M158" s="2"/>
      <c r="N158" s="2"/>
      <c r="O158" s="2"/>
    </row>
    <row r="159">
      <c r="J159" s="2"/>
      <c r="K159" s="2"/>
      <c r="L159" s="2"/>
      <c r="M159" s="2"/>
      <c r="N159" s="2"/>
      <c r="O159" s="2"/>
    </row>
    <row r="160">
      <c r="J160" s="2"/>
      <c r="K160" s="2"/>
      <c r="L160" s="2"/>
      <c r="M160" s="2"/>
      <c r="N160" s="2"/>
      <c r="O160" s="2"/>
    </row>
    <row r="161">
      <c r="J161" s="2"/>
      <c r="K161" s="2"/>
      <c r="L161" s="2"/>
      <c r="M161" s="2"/>
      <c r="N161" s="2"/>
      <c r="O161" s="2"/>
    </row>
    <row r="162">
      <c r="J162" s="2"/>
      <c r="K162" s="2"/>
      <c r="L162" s="2"/>
      <c r="M162" s="2"/>
      <c r="N162" s="2"/>
      <c r="O162" s="2"/>
    </row>
    <row r="163">
      <c r="J163" s="2"/>
      <c r="K163" s="2"/>
      <c r="L163" s="2"/>
      <c r="M163" s="2"/>
      <c r="N163" s="2"/>
      <c r="O163" s="2"/>
    </row>
    <row r="164">
      <c r="J164" s="2"/>
      <c r="K164" s="2"/>
      <c r="L164" s="2"/>
      <c r="M164" s="2"/>
      <c r="N164" s="2"/>
      <c r="O164" s="2"/>
    </row>
    <row r="165">
      <c r="J165" s="2"/>
      <c r="K165" s="2"/>
      <c r="L165" s="2"/>
      <c r="M165" s="2"/>
      <c r="N165" s="2"/>
      <c r="O165" s="2"/>
    </row>
    <row r="166">
      <c r="J166" s="2"/>
      <c r="K166" s="2"/>
      <c r="L166" s="2"/>
      <c r="M166" s="2"/>
      <c r="N166" s="2"/>
      <c r="O166" s="2"/>
    </row>
    <row r="167">
      <c r="J167" s="2"/>
      <c r="K167" s="2"/>
      <c r="L167" s="2"/>
      <c r="M167" s="2"/>
      <c r="N167" s="2"/>
      <c r="O167" s="2"/>
    </row>
    <row r="168">
      <c r="J168" s="2"/>
      <c r="K168" s="2"/>
      <c r="L168" s="2"/>
      <c r="M168" s="2"/>
      <c r="N168" s="2"/>
      <c r="O168" s="2"/>
    </row>
    <row r="169">
      <c r="J169" s="2"/>
      <c r="K169" s="2"/>
      <c r="L169" s="2"/>
      <c r="M169" s="2"/>
      <c r="N169" s="2"/>
      <c r="O169" s="2"/>
    </row>
    <row r="170">
      <c r="J170" s="2"/>
      <c r="K170" s="2"/>
      <c r="L170" s="2"/>
      <c r="M170" s="2"/>
      <c r="N170" s="2"/>
      <c r="O170" s="2"/>
    </row>
    <row r="171">
      <c r="J171" s="2"/>
      <c r="K171" s="2"/>
      <c r="L171" s="2"/>
      <c r="M171" s="2"/>
      <c r="N171" s="2"/>
      <c r="O171" s="2"/>
    </row>
    <row r="172">
      <c r="J172" s="2"/>
      <c r="K172" s="2"/>
      <c r="L172" s="2"/>
      <c r="M172" s="2"/>
      <c r="N172" s="2"/>
      <c r="O172" s="2"/>
    </row>
    <row r="173">
      <c r="J173" s="2"/>
      <c r="K173" s="2"/>
      <c r="L173" s="2"/>
      <c r="M173" s="2"/>
      <c r="N173" s="2"/>
      <c r="O173" s="2"/>
    </row>
    <row r="174">
      <c r="J174" s="2"/>
      <c r="K174" s="2"/>
      <c r="L174" s="2"/>
      <c r="M174" s="2"/>
      <c r="N174" s="2"/>
      <c r="O174" s="2"/>
    </row>
    <row r="175">
      <c r="J175" s="2"/>
      <c r="K175" s="2"/>
      <c r="L175" s="2"/>
      <c r="M175" s="2"/>
      <c r="N175" s="2"/>
      <c r="O175" s="2"/>
    </row>
    <row r="176">
      <c r="J176" s="2"/>
      <c r="K176" s="2"/>
      <c r="L176" s="2"/>
      <c r="M176" s="2"/>
      <c r="N176" s="2"/>
      <c r="O176" s="2"/>
    </row>
    <row r="177">
      <c r="J177" s="2"/>
      <c r="K177" s="2"/>
      <c r="L177" s="2"/>
      <c r="M177" s="2"/>
      <c r="N177" s="2"/>
      <c r="O177" s="2"/>
    </row>
    <row r="178">
      <c r="J178" s="2"/>
      <c r="K178" s="2"/>
      <c r="L178" s="2"/>
      <c r="M178" s="2"/>
      <c r="N178" s="2"/>
      <c r="O178" s="2"/>
    </row>
    <row r="179">
      <c r="J179" s="2"/>
      <c r="K179" s="2"/>
      <c r="L179" s="2"/>
      <c r="M179" s="2"/>
      <c r="N179" s="2"/>
      <c r="O179" s="2"/>
    </row>
    <row r="180">
      <c r="J180" s="2"/>
      <c r="K180" s="2"/>
      <c r="L180" s="2"/>
      <c r="M180" s="2"/>
      <c r="N180" s="2"/>
      <c r="O180" s="2"/>
    </row>
    <row r="181">
      <c r="J181" s="2"/>
      <c r="K181" s="2"/>
      <c r="L181" s="2"/>
      <c r="M181" s="2"/>
      <c r="N181" s="2"/>
      <c r="O181" s="2"/>
    </row>
    <row r="182">
      <c r="J182" s="2"/>
      <c r="K182" s="2"/>
      <c r="L182" s="2"/>
      <c r="M182" s="2"/>
      <c r="N182" s="2"/>
      <c r="O182" s="2"/>
    </row>
    <row r="183">
      <c r="J183" s="2"/>
      <c r="K183" s="2"/>
      <c r="L183" s="2"/>
      <c r="M183" s="2"/>
      <c r="N183" s="2"/>
      <c r="O183" s="2"/>
    </row>
    <row r="184">
      <c r="J184" s="2"/>
      <c r="K184" s="2"/>
      <c r="L184" s="2"/>
      <c r="M184" s="2"/>
      <c r="N184" s="2"/>
      <c r="O184" s="2"/>
    </row>
    <row r="185">
      <c r="J185" s="2"/>
      <c r="K185" s="2"/>
      <c r="L185" s="2"/>
      <c r="M185" s="2"/>
      <c r="N185" s="2"/>
      <c r="O185" s="2"/>
    </row>
    <row r="186">
      <c r="J186" s="2"/>
      <c r="K186" s="2"/>
      <c r="L186" s="2"/>
      <c r="M186" s="2"/>
      <c r="N186" s="2"/>
      <c r="O186" s="2"/>
    </row>
    <row r="187">
      <c r="J187" s="2"/>
      <c r="K187" s="2"/>
      <c r="L187" s="2"/>
      <c r="M187" s="2"/>
      <c r="N187" s="2"/>
      <c r="O187" s="2"/>
    </row>
    <row r="188">
      <c r="J188" s="2"/>
      <c r="K188" s="2"/>
      <c r="L188" s="2"/>
      <c r="M188" s="2"/>
      <c r="N188" s="2"/>
      <c r="O188" s="2"/>
    </row>
    <row r="189">
      <c r="J189" s="2"/>
      <c r="K189" s="2"/>
      <c r="L189" s="2"/>
      <c r="M189" s="2"/>
      <c r="N189" s="2"/>
      <c r="O189" s="2"/>
    </row>
    <row r="190">
      <c r="J190" s="2"/>
      <c r="K190" s="2"/>
      <c r="L190" s="2"/>
      <c r="M190" s="2"/>
      <c r="N190" s="2"/>
      <c r="O190" s="2"/>
    </row>
    <row r="191">
      <c r="J191" s="2"/>
      <c r="K191" s="2"/>
      <c r="L191" s="2"/>
      <c r="M191" s="2"/>
      <c r="N191" s="2"/>
      <c r="O191" s="2"/>
    </row>
    <row r="192">
      <c r="J192" s="2"/>
      <c r="K192" s="2"/>
      <c r="L192" s="2"/>
      <c r="M192" s="2"/>
      <c r="N192" s="2"/>
      <c r="O192" s="2"/>
    </row>
    <row r="193">
      <c r="J193" s="2"/>
      <c r="K193" s="2"/>
      <c r="L193" s="2"/>
      <c r="M193" s="2"/>
      <c r="N193" s="2"/>
      <c r="O193" s="2"/>
    </row>
    <row r="194">
      <c r="J194" s="2"/>
      <c r="K194" s="2"/>
      <c r="L194" s="2"/>
      <c r="M194" s="2"/>
      <c r="N194" s="2"/>
      <c r="O194" s="2"/>
    </row>
    <row r="195">
      <c r="J195" s="2"/>
      <c r="K195" s="2"/>
      <c r="L195" s="2"/>
      <c r="M195" s="2"/>
      <c r="N195" s="2"/>
      <c r="O195" s="2"/>
    </row>
    <row r="196">
      <c r="J196" s="2"/>
      <c r="K196" s="2"/>
      <c r="L196" s="2"/>
      <c r="M196" s="2"/>
      <c r="N196" s="2"/>
      <c r="O196" s="2"/>
    </row>
    <row r="197">
      <c r="J197" s="2"/>
      <c r="K197" s="2"/>
      <c r="L197" s="2"/>
      <c r="M197" s="2"/>
      <c r="N197" s="2"/>
      <c r="O197" s="2"/>
    </row>
    <row r="198">
      <c r="J198" s="2"/>
      <c r="K198" s="2"/>
      <c r="L198" s="2"/>
      <c r="M198" s="2"/>
      <c r="N198" s="2"/>
      <c r="O198" s="2"/>
    </row>
    <row r="199">
      <c r="J199" s="2"/>
      <c r="K199" s="2"/>
      <c r="L199" s="2"/>
      <c r="M199" s="2"/>
      <c r="N199" s="2"/>
      <c r="O199" s="2"/>
    </row>
    <row r="200">
      <c r="J200" s="2"/>
      <c r="K200" s="2"/>
      <c r="L200" s="2"/>
      <c r="M200" s="2"/>
      <c r="N200" s="2"/>
      <c r="O200" s="2"/>
    </row>
    <row r="201">
      <c r="J201" s="2"/>
      <c r="K201" s="2"/>
      <c r="L201" s="2"/>
      <c r="M201" s="2"/>
      <c r="N201" s="2"/>
      <c r="O201" s="2"/>
    </row>
    <row r="202">
      <c r="J202" s="2"/>
      <c r="K202" s="2"/>
      <c r="L202" s="2"/>
      <c r="M202" s="2"/>
      <c r="N202" s="2"/>
      <c r="O202" s="2"/>
    </row>
    <row r="203">
      <c r="J203" s="2"/>
      <c r="K203" s="2"/>
      <c r="L203" s="2"/>
      <c r="M203" s="2"/>
      <c r="N203" s="2"/>
      <c r="O203" s="2"/>
    </row>
    <row r="204">
      <c r="J204" s="2"/>
      <c r="K204" s="2"/>
      <c r="L204" s="2"/>
      <c r="M204" s="2"/>
      <c r="N204" s="2"/>
      <c r="O204" s="2"/>
    </row>
    <row r="205">
      <c r="J205" s="2"/>
      <c r="K205" s="2"/>
      <c r="L205" s="2"/>
      <c r="M205" s="2"/>
      <c r="N205" s="2"/>
      <c r="O205" s="2"/>
    </row>
    <row r="206">
      <c r="J206" s="2"/>
      <c r="K206" s="2"/>
      <c r="L206" s="2"/>
      <c r="M206" s="2"/>
      <c r="N206" s="2"/>
      <c r="O206" s="2"/>
    </row>
    <row r="207">
      <c r="J207" s="2"/>
      <c r="K207" s="2"/>
      <c r="L207" s="2"/>
      <c r="M207" s="2"/>
      <c r="N207" s="2"/>
      <c r="O207" s="2"/>
    </row>
    <row r="208">
      <c r="J208" s="2"/>
      <c r="K208" s="2"/>
      <c r="L208" s="2"/>
      <c r="M208" s="2"/>
      <c r="N208" s="2"/>
      <c r="O208" s="2"/>
    </row>
    <row r="209">
      <c r="J209" s="2"/>
      <c r="K209" s="2"/>
      <c r="L209" s="2"/>
      <c r="M209" s="2"/>
      <c r="N209" s="2"/>
      <c r="O209" s="2"/>
    </row>
    <row r="210">
      <c r="J210" s="2"/>
      <c r="K210" s="2"/>
      <c r="L210" s="2"/>
      <c r="M210" s="2"/>
      <c r="N210" s="2"/>
      <c r="O210" s="2"/>
    </row>
    <row r="211">
      <c r="J211" s="2"/>
      <c r="K211" s="2"/>
      <c r="L211" s="2"/>
      <c r="M211" s="2"/>
      <c r="N211" s="2"/>
      <c r="O211" s="2"/>
    </row>
    <row r="212">
      <c r="J212" s="2"/>
      <c r="K212" s="2"/>
      <c r="L212" s="2"/>
      <c r="M212" s="2"/>
      <c r="N212" s="2"/>
      <c r="O212" s="2"/>
    </row>
    <row r="213">
      <c r="J213" s="2"/>
      <c r="K213" s="2"/>
      <c r="L213" s="2"/>
      <c r="M213" s="2"/>
      <c r="N213" s="2"/>
      <c r="O213" s="2"/>
    </row>
    <row r="214">
      <c r="J214" s="2"/>
      <c r="K214" s="2"/>
      <c r="L214" s="2"/>
      <c r="M214" s="2"/>
      <c r="N214" s="2"/>
      <c r="O214" s="2"/>
    </row>
    <row r="215">
      <c r="J215" s="2"/>
      <c r="K215" s="2"/>
      <c r="L215" s="2"/>
      <c r="M215" s="2"/>
      <c r="N215" s="2"/>
      <c r="O215" s="2"/>
    </row>
    <row r="216">
      <c r="J216" s="2"/>
      <c r="K216" s="2"/>
      <c r="L216" s="2"/>
      <c r="M216" s="2"/>
      <c r="N216" s="2"/>
      <c r="O216" s="2"/>
    </row>
    <row r="217">
      <c r="J217" s="2"/>
      <c r="K217" s="2"/>
      <c r="L217" s="2"/>
      <c r="M217" s="2"/>
      <c r="N217" s="2"/>
      <c r="O217" s="2"/>
    </row>
    <row r="218">
      <c r="J218" s="2"/>
      <c r="K218" s="2"/>
      <c r="L218" s="2"/>
      <c r="M218" s="2"/>
      <c r="N218" s="2"/>
      <c r="O218" s="2"/>
    </row>
    <row r="219">
      <c r="J219" s="2"/>
      <c r="K219" s="2"/>
      <c r="L219" s="2"/>
      <c r="M219" s="2"/>
      <c r="N219" s="2"/>
      <c r="O219" s="2"/>
    </row>
    <row r="220">
      <c r="J220" s="2"/>
      <c r="K220" s="2"/>
      <c r="L220" s="2"/>
      <c r="M220" s="2"/>
      <c r="N220" s="2"/>
      <c r="O220" s="2"/>
    </row>
    <row r="221">
      <c r="J221" s="2"/>
      <c r="K221" s="2"/>
      <c r="L221" s="2"/>
      <c r="M221" s="2"/>
      <c r="N221" s="2"/>
      <c r="O221" s="2"/>
    </row>
    <row r="222">
      <c r="J222" s="2"/>
      <c r="K222" s="2"/>
      <c r="L222" s="2"/>
      <c r="M222" s="2"/>
      <c r="N222" s="2"/>
      <c r="O222" s="2"/>
    </row>
    <row r="223">
      <c r="J223" s="2"/>
      <c r="K223" s="2"/>
      <c r="L223" s="2"/>
      <c r="M223" s="2"/>
      <c r="N223" s="2"/>
      <c r="O223" s="2"/>
    </row>
    <row r="224">
      <c r="J224" s="2"/>
      <c r="K224" s="2"/>
      <c r="L224" s="2"/>
      <c r="M224" s="2"/>
      <c r="N224" s="2"/>
      <c r="O224" s="2"/>
    </row>
    <row r="225">
      <c r="J225" s="2"/>
      <c r="K225" s="2"/>
      <c r="L225" s="2"/>
      <c r="M225" s="2"/>
      <c r="N225" s="2"/>
      <c r="O225" s="2"/>
    </row>
    <row r="226">
      <c r="J226" s="2"/>
      <c r="K226" s="2"/>
      <c r="L226" s="2"/>
      <c r="M226" s="2"/>
      <c r="N226" s="2"/>
      <c r="O226" s="2"/>
    </row>
    <row r="227">
      <c r="J227" s="2"/>
      <c r="K227" s="2"/>
      <c r="L227" s="2"/>
      <c r="M227" s="2"/>
      <c r="N227" s="2"/>
      <c r="O227" s="2"/>
    </row>
    <row r="228">
      <c r="J228" s="2"/>
      <c r="K228" s="2"/>
      <c r="L228" s="2"/>
      <c r="M228" s="2"/>
      <c r="N228" s="2"/>
      <c r="O228" s="2"/>
    </row>
    <row r="229">
      <c r="J229" s="2"/>
      <c r="K229" s="2"/>
      <c r="L229" s="2"/>
      <c r="M229" s="2"/>
      <c r="N229" s="2"/>
      <c r="O229" s="2"/>
    </row>
    <row r="230">
      <c r="J230" s="2"/>
      <c r="K230" s="2"/>
      <c r="L230" s="2"/>
      <c r="M230" s="2"/>
      <c r="N230" s="2"/>
      <c r="O230" s="2"/>
    </row>
    <row r="231">
      <c r="J231" s="2"/>
      <c r="K231" s="2"/>
      <c r="L231" s="2"/>
      <c r="M231" s="2"/>
      <c r="N231" s="2"/>
      <c r="O231" s="2"/>
    </row>
    <row r="232">
      <c r="J232" s="2"/>
      <c r="K232" s="2"/>
      <c r="L232" s="2"/>
      <c r="M232" s="2"/>
      <c r="N232" s="2"/>
      <c r="O232" s="2"/>
    </row>
    <row r="233">
      <c r="J233" s="2"/>
      <c r="K233" s="2"/>
      <c r="L233" s="2"/>
      <c r="M233" s="2"/>
      <c r="N233" s="2"/>
      <c r="O233" s="2"/>
    </row>
    <row r="234">
      <c r="J234" s="2"/>
      <c r="K234" s="2"/>
      <c r="L234" s="2"/>
      <c r="M234" s="2"/>
      <c r="N234" s="2"/>
      <c r="O234" s="2"/>
    </row>
    <row r="235">
      <c r="J235" s="2"/>
      <c r="K235" s="2"/>
      <c r="L235" s="2"/>
      <c r="M235" s="2"/>
      <c r="N235" s="2"/>
      <c r="O235" s="2"/>
    </row>
    <row r="236">
      <c r="J236" s="2"/>
      <c r="K236" s="2"/>
      <c r="L236" s="2"/>
      <c r="M236" s="2"/>
      <c r="N236" s="2"/>
      <c r="O236" s="2"/>
    </row>
    <row r="237">
      <c r="J237" s="2"/>
      <c r="K237" s="2"/>
      <c r="L237" s="2"/>
      <c r="M237" s="2"/>
      <c r="N237" s="2"/>
      <c r="O237" s="2"/>
    </row>
    <row r="238">
      <c r="J238" s="2"/>
      <c r="K238" s="2"/>
      <c r="L238" s="2"/>
      <c r="M238" s="2"/>
      <c r="N238" s="2"/>
      <c r="O238" s="2"/>
    </row>
    <row r="239">
      <c r="J239" s="2"/>
      <c r="K239" s="2"/>
      <c r="L239" s="2"/>
      <c r="M239" s="2"/>
      <c r="N239" s="2"/>
      <c r="O239" s="2"/>
    </row>
    <row r="240">
      <c r="J240" s="2"/>
      <c r="K240" s="2"/>
      <c r="L240" s="2"/>
      <c r="M240" s="2"/>
      <c r="N240" s="2"/>
      <c r="O240" s="2"/>
    </row>
    <row r="241">
      <c r="J241" s="2"/>
      <c r="K241" s="2"/>
      <c r="L241" s="2"/>
      <c r="M241" s="2"/>
      <c r="N241" s="2"/>
      <c r="O241" s="2"/>
    </row>
    <row r="242">
      <c r="J242" s="2"/>
      <c r="K242" s="2"/>
      <c r="L242" s="2"/>
      <c r="M242" s="2"/>
      <c r="N242" s="2"/>
      <c r="O242" s="2"/>
    </row>
    <row r="243">
      <c r="J243" s="2"/>
      <c r="K243" s="2"/>
      <c r="L243" s="2"/>
      <c r="M243" s="2"/>
      <c r="N243" s="2"/>
      <c r="O243" s="2"/>
    </row>
    <row r="244">
      <c r="J244" s="2"/>
      <c r="K244" s="2"/>
      <c r="L244" s="2"/>
      <c r="M244" s="2"/>
      <c r="N244" s="2"/>
      <c r="O244" s="2"/>
    </row>
    <row r="245">
      <c r="J245" s="2"/>
      <c r="K245" s="2"/>
      <c r="L245" s="2"/>
      <c r="M245" s="2"/>
      <c r="N245" s="2"/>
      <c r="O245" s="2"/>
    </row>
    <row r="246">
      <c r="J246" s="2"/>
      <c r="K246" s="2"/>
      <c r="L246" s="2"/>
      <c r="M246" s="2"/>
      <c r="N246" s="2"/>
      <c r="O246" s="2"/>
    </row>
    <row r="247">
      <c r="J247" s="2"/>
      <c r="K247" s="2"/>
      <c r="L247" s="2"/>
      <c r="M247" s="2"/>
      <c r="N247" s="2"/>
      <c r="O247" s="2"/>
    </row>
    <row r="248">
      <c r="J248" s="2"/>
      <c r="K248" s="2"/>
      <c r="L248" s="2"/>
      <c r="M248" s="2"/>
      <c r="N248" s="2"/>
      <c r="O248" s="2"/>
    </row>
    <row r="249">
      <c r="J249" s="2"/>
      <c r="K249" s="2"/>
      <c r="L249" s="2"/>
      <c r="M249" s="2"/>
      <c r="N249" s="2"/>
      <c r="O249" s="2"/>
    </row>
    <row r="250">
      <c r="J250" s="2"/>
      <c r="K250" s="2"/>
      <c r="L250" s="2"/>
      <c r="M250" s="2"/>
      <c r="N250" s="2"/>
      <c r="O250" s="2"/>
    </row>
    <row r="251">
      <c r="J251" s="2"/>
      <c r="K251" s="2"/>
      <c r="L251" s="2"/>
      <c r="M251" s="2"/>
      <c r="N251" s="2"/>
      <c r="O251" s="2"/>
    </row>
    <row r="252">
      <c r="J252" s="2"/>
      <c r="K252" s="2"/>
      <c r="L252" s="2"/>
      <c r="M252" s="2"/>
      <c r="N252" s="2"/>
      <c r="O252" s="2"/>
    </row>
    <row r="253">
      <c r="J253" s="2"/>
      <c r="K253" s="2"/>
      <c r="L253" s="2"/>
      <c r="M253" s="2"/>
      <c r="N253" s="2"/>
      <c r="O253" s="2"/>
    </row>
    <row r="254">
      <c r="J254" s="2"/>
      <c r="K254" s="2"/>
      <c r="L254" s="2"/>
      <c r="M254" s="2"/>
      <c r="N254" s="2"/>
      <c r="O254" s="2"/>
    </row>
    <row r="255">
      <c r="J255" s="2"/>
      <c r="K255" s="2"/>
      <c r="L255" s="2"/>
      <c r="M255" s="2"/>
      <c r="N255" s="2"/>
      <c r="O255" s="2"/>
    </row>
    <row r="256">
      <c r="J256" s="2"/>
      <c r="K256" s="2"/>
      <c r="L256" s="2"/>
      <c r="M256" s="2"/>
      <c r="N256" s="2"/>
      <c r="O256" s="2"/>
    </row>
    <row r="257">
      <c r="J257" s="2"/>
      <c r="K257" s="2"/>
      <c r="L257" s="2"/>
      <c r="M257" s="2"/>
      <c r="N257" s="2"/>
      <c r="O257" s="2"/>
    </row>
    <row r="258">
      <c r="J258" s="2"/>
      <c r="K258" s="2"/>
      <c r="L258" s="2"/>
      <c r="M258" s="2"/>
      <c r="N258" s="2"/>
      <c r="O258" s="2"/>
    </row>
    <row r="259">
      <c r="J259" s="2"/>
      <c r="K259" s="2"/>
      <c r="L259" s="2"/>
      <c r="M259" s="2"/>
      <c r="N259" s="2"/>
      <c r="O259" s="2"/>
    </row>
    <row r="260">
      <c r="J260" s="2"/>
      <c r="K260" s="2"/>
      <c r="L260" s="2"/>
      <c r="M260" s="2"/>
      <c r="N260" s="2"/>
      <c r="O260" s="2"/>
    </row>
    <row r="261">
      <c r="J261" s="2"/>
      <c r="K261" s="2"/>
      <c r="L261" s="2"/>
      <c r="M261" s="2"/>
      <c r="N261" s="2"/>
      <c r="O261" s="2"/>
    </row>
    <row r="262">
      <c r="J262" s="2"/>
      <c r="K262" s="2"/>
      <c r="L262" s="2"/>
      <c r="M262" s="2"/>
      <c r="N262" s="2"/>
      <c r="O262" s="2"/>
    </row>
    <row r="263">
      <c r="J263" s="2"/>
      <c r="K263" s="2"/>
      <c r="L263" s="2"/>
      <c r="M263" s="2"/>
      <c r="N263" s="2"/>
      <c r="O263" s="2"/>
    </row>
    <row r="264">
      <c r="J264" s="2"/>
      <c r="K264" s="2"/>
      <c r="L264" s="2"/>
      <c r="M264" s="2"/>
      <c r="N264" s="2"/>
      <c r="O264" s="2"/>
    </row>
    <row r="265">
      <c r="J265" s="2"/>
      <c r="K265" s="2"/>
      <c r="L265" s="2"/>
      <c r="M265" s="2"/>
      <c r="N265" s="2"/>
      <c r="O265" s="2"/>
    </row>
    <row r="266">
      <c r="J266" s="2"/>
      <c r="K266" s="2"/>
      <c r="L266" s="2"/>
      <c r="M266" s="2"/>
      <c r="N266" s="2"/>
      <c r="O266" s="2"/>
    </row>
    <row r="267">
      <c r="J267" s="2"/>
      <c r="K267" s="2"/>
      <c r="L267" s="2"/>
      <c r="M267" s="2"/>
      <c r="N267" s="2"/>
      <c r="O267" s="2"/>
    </row>
    <row r="268">
      <c r="J268" s="2"/>
      <c r="K268" s="2"/>
      <c r="L268" s="2"/>
      <c r="M268" s="2"/>
      <c r="N268" s="2"/>
      <c r="O268" s="2"/>
    </row>
    <row r="269">
      <c r="J269" s="2"/>
      <c r="K269" s="2"/>
      <c r="L269" s="2"/>
      <c r="M269" s="2"/>
      <c r="N269" s="2"/>
      <c r="O269" s="2"/>
    </row>
    <row r="270">
      <c r="J270" s="2"/>
      <c r="K270" s="2"/>
      <c r="L270" s="2"/>
      <c r="M270" s="2"/>
      <c r="N270" s="2"/>
      <c r="O270" s="2"/>
    </row>
    <row r="271">
      <c r="J271" s="2"/>
      <c r="K271" s="2"/>
      <c r="L271" s="2"/>
      <c r="M271" s="2"/>
      <c r="N271" s="2"/>
      <c r="O271" s="2"/>
    </row>
    <row r="272">
      <c r="J272" s="2"/>
      <c r="K272" s="2"/>
      <c r="L272" s="2"/>
      <c r="M272" s="2"/>
      <c r="N272" s="2"/>
      <c r="O272" s="2"/>
    </row>
    <row r="273">
      <c r="J273" s="2"/>
      <c r="K273" s="2"/>
      <c r="L273" s="2"/>
      <c r="M273" s="2"/>
      <c r="N273" s="2"/>
      <c r="O273" s="2"/>
    </row>
    <row r="274">
      <c r="J274" s="2"/>
      <c r="K274" s="2"/>
      <c r="L274" s="2"/>
      <c r="M274" s="2"/>
      <c r="N274" s="2"/>
      <c r="O274" s="2"/>
    </row>
    <row r="275">
      <c r="J275" s="2"/>
      <c r="K275" s="2"/>
      <c r="L275" s="2"/>
      <c r="M275" s="2"/>
      <c r="N275" s="2"/>
      <c r="O275" s="2"/>
    </row>
    <row r="276">
      <c r="J276" s="2"/>
      <c r="K276" s="2"/>
      <c r="L276" s="2"/>
      <c r="M276" s="2"/>
      <c r="N276" s="2"/>
      <c r="O276" s="2"/>
    </row>
    <row r="277">
      <c r="J277" s="2"/>
      <c r="K277" s="2"/>
      <c r="L277" s="2"/>
      <c r="M277" s="2"/>
      <c r="N277" s="2"/>
      <c r="O277" s="2"/>
    </row>
    <row r="278">
      <c r="J278" s="2"/>
      <c r="K278" s="2"/>
      <c r="L278" s="2"/>
      <c r="M278" s="2"/>
      <c r="N278" s="2"/>
      <c r="O278" s="2"/>
    </row>
    <row r="279">
      <c r="J279" s="2"/>
      <c r="K279" s="2"/>
      <c r="L279" s="2"/>
      <c r="M279" s="2"/>
      <c r="N279" s="2"/>
      <c r="O279" s="2"/>
    </row>
    <row r="280">
      <c r="J280" s="2"/>
      <c r="K280" s="2"/>
      <c r="L280" s="2"/>
      <c r="M280" s="2"/>
      <c r="N280" s="2"/>
      <c r="O280" s="2"/>
    </row>
    <row r="281">
      <c r="J281" s="2"/>
      <c r="K281" s="2"/>
      <c r="L281" s="2"/>
      <c r="M281" s="2"/>
      <c r="N281" s="2"/>
      <c r="O281" s="2"/>
    </row>
    <row r="282">
      <c r="J282" s="2"/>
      <c r="K282" s="2"/>
      <c r="L282" s="2"/>
      <c r="M282" s="2"/>
      <c r="N282" s="2"/>
      <c r="O282" s="2"/>
    </row>
    <row r="283">
      <c r="J283" s="2"/>
      <c r="K283" s="2"/>
      <c r="L283" s="2"/>
      <c r="M283" s="2"/>
      <c r="N283" s="2"/>
      <c r="O283" s="2"/>
    </row>
    <row r="284">
      <c r="J284" s="2"/>
      <c r="K284" s="2"/>
      <c r="L284" s="2"/>
      <c r="M284" s="2"/>
      <c r="N284" s="2"/>
      <c r="O284" s="2"/>
    </row>
    <row r="285">
      <c r="J285" s="2"/>
      <c r="K285" s="2"/>
      <c r="L285" s="2"/>
      <c r="M285" s="2"/>
      <c r="N285" s="2"/>
      <c r="O285" s="2"/>
    </row>
    <row r="286">
      <c r="J286" s="2"/>
      <c r="K286" s="2"/>
      <c r="L286" s="2"/>
      <c r="M286" s="2"/>
      <c r="N286" s="2"/>
      <c r="O286" s="2"/>
    </row>
    <row r="287">
      <c r="J287" s="2"/>
      <c r="K287" s="2"/>
      <c r="L287" s="2"/>
      <c r="M287" s="2"/>
      <c r="N287" s="2"/>
      <c r="O287" s="2"/>
    </row>
    <row r="288">
      <c r="J288" s="2"/>
      <c r="K288" s="2"/>
      <c r="L288" s="2"/>
      <c r="M288" s="2"/>
      <c r="N288" s="2"/>
      <c r="O288" s="2"/>
    </row>
    <row r="289">
      <c r="J289" s="2"/>
      <c r="K289" s="2"/>
      <c r="L289" s="2"/>
      <c r="M289" s="2"/>
      <c r="N289" s="2"/>
      <c r="O289" s="2"/>
    </row>
    <row r="290">
      <c r="J290" s="2"/>
      <c r="K290" s="2"/>
      <c r="L290" s="2"/>
      <c r="M290" s="2"/>
      <c r="N290" s="2"/>
      <c r="O290" s="2"/>
    </row>
    <row r="291">
      <c r="J291" s="2"/>
      <c r="K291" s="2"/>
      <c r="L291" s="2"/>
      <c r="M291" s="2"/>
      <c r="N291" s="2"/>
      <c r="O291" s="2"/>
    </row>
    <row r="292">
      <c r="J292" s="2"/>
      <c r="K292" s="2"/>
      <c r="L292" s="2"/>
      <c r="M292" s="2"/>
      <c r="N292" s="2"/>
      <c r="O292" s="2"/>
    </row>
    <row r="293">
      <c r="J293" s="2"/>
      <c r="K293" s="2"/>
      <c r="L293" s="2"/>
      <c r="M293" s="2"/>
      <c r="N293" s="2"/>
      <c r="O293" s="2"/>
    </row>
    <row r="294">
      <c r="J294" s="2"/>
      <c r="K294" s="2"/>
      <c r="L294" s="2"/>
      <c r="M294" s="2"/>
      <c r="N294" s="2"/>
      <c r="O294" s="2"/>
    </row>
    <row r="295">
      <c r="J295" s="2"/>
      <c r="K295" s="2"/>
      <c r="L295" s="2"/>
      <c r="M295" s="2"/>
      <c r="N295" s="2"/>
      <c r="O295" s="2"/>
    </row>
    <row r="296">
      <c r="J296" s="2"/>
      <c r="K296" s="2"/>
      <c r="L296" s="2"/>
      <c r="M296" s="2"/>
      <c r="N296" s="2"/>
      <c r="O296" s="2"/>
    </row>
    <row r="297">
      <c r="J297" s="2"/>
      <c r="K297" s="2"/>
      <c r="L297" s="2"/>
      <c r="M297" s="2"/>
      <c r="N297" s="2"/>
      <c r="O297" s="2"/>
    </row>
    <row r="298">
      <c r="J298" s="2"/>
      <c r="K298" s="2"/>
      <c r="L298" s="2"/>
      <c r="M298" s="2"/>
      <c r="N298" s="2"/>
      <c r="O298" s="2"/>
    </row>
    <row r="299">
      <c r="J299" s="2"/>
      <c r="K299" s="2"/>
      <c r="L299" s="2"/>
      <c r="M299" s="2"/>
      <c r="N299" s="2"/>
      <c r="O299" s="2"/>
    </row>
    <row r="300">
      <c r="J300" s="2"/>
      <c r="K300" s="2"/>
      <c r="L300" s="2"/>
      <c r="M300" s="2"/>
      <c r="N300" s="2"/>
      <c r="O300" s="2"/>
    </row>
    <row r="301">
      <c r="J301" s="2"/>
      <c r="K301" s="2"/>
      <c r="L301" s="2"/>
      <c r="M301" s="2"/>
      <c r="N301" s="2"/>
      <c r="O301" s="2"/>
    </row>
    <row r="302">
      <c r="J302" s="2"/>
      <c r="K302" s="2"/>
      <c r="L302" s="2"/>
      <c r="M302" s="2"/>
      <c r="N302" s="2"/>
      <c r="O302" s="2"/>
    </row>
    <row r="303">
      <c r="J303" s="2"/>
      <c r="K303" s="2"/>
      <c r="L303" s="2"/>
      <c r="M303" s="2"/>
      <c r="N303" s="2"/>
      <c r="O303" s="2"/>
    </row>
    <row r="304">
      <c r="J304" s="2"/>
      <c r="K304" s="2"/>
      <c r="L304" s="2"/>
      <c r="M304" s="2"/>
      <c r="N304" s="2"/>
      <c r="O304" s="2"/>
    </row>
    <row r="305">
      <c r="J305" s="2"/>
      <c r="K305" s="2"/>
      <c r="L305" s="2"/>
      <c r="M305" s="2"/>
      <c r="N305" s="2"/>
      <c r="O305" s="2"/>
    </row>
    <row r="306">
      <c r="J306" s="2"/>
      <c r="K306" s="2"/>
      <c r="L306" s="2"/>
      <c r="M306" s="2"/>
      <c r="N306" s="2"/>
      <c r="O306" s="2"/>
    </row>
    <row r="307">
      <c r="J307" s="2"/>
      <c r="K307" s="2"/>
      <c r="L307" s="2"/>
      <c r="M307" s="2"/>
      <c r="N307" s="2"/>
      <c r="O307" s="2"/>
    </row>
    <row r="308">
      <c r="J308" s="2"/>
      <c r="K308" s="2"/>
      <c r="L308" s="2"/>
      <c r="M308" s="2"/>
      <c r="N308" s="2"/>
      <c r="O308" s="2"/>
    </row>
    <row r="309">
      <c r="J309" s="2"/>
      <c r="K309" s="2"/>
      <c r="L309" s="2"/>
      <c r="M309" s="2"/>
      <c r="N309" s="2"/>
      <c r="O309" s="2"/>
    </row>
    <row r="310">
      <c r="J310" s="2"/>
      <c r="K310" s="2"/>
      <c r="L310" s="2"/>
      <c r="M310" s="2"/>
      <c r="N310" s="2"/>
      <c r="O310" s="2"/>
    </row>
    <row r="311">
      <c r="J311" s="2"/>
      <c r="K311" s="2"/>
      <c r="L311" s="2"/>
      <c r="M311" s="2"/>
      <c r="N311" s="2"/>
      <c r="O311" s="2"/>
    </row>
    <row r="312">
      <c r="J312" s="2"/>
      <c r="K312" s="2"/>
      <c r="L312" s="2"/>
      <c r="M312" s="2"/>
      <c r="N312" s="2"/>
      <c r="O312" s="2"/>
    </row>
    <row r="313">
      <c r="J313" s="2"/>
      <c r="K313" s="2"/>
      <c r="L313" s="2"/>
      <c r="M313" s="2"/>
      <c r="N313" s="2"/>
      <c r="O313" s="2"/>
    </row>
    <row r="314">
      <c r="J314" s="2"/>
      <c r="K314" s="2"/>
      <c r="L314" s="2"/>
      <c r="M314" s="2"/>
      <c r="N314" s="2"/>
      <c r="O314" s="2"/>
    </row>
    <row r="315">
      <c r="J315" s="2"/>
      <c r="K315" s="2"/>
      <c r="L315" s="2"/>
      <c r="M315" s="2"/>
      <c r="N315" s="2"/>
      <c r="O315" s="2"/>
    </row>
    <row r="316">
      <c r="J316" s="2"/>
      <c r="K316" s="2"/>
      <c r="L316" s="2"/>
      <c r="M316" s="2"/>
      <c r="N316" s="2"/>
      <c r="O316" s="2"/>
    </row>
    <row r="317">
      <c r="J317" s="2"/>
      <c r="K317" s="2"/>
      <c r="L317" s="2"/>
      <c r="M317" s="2"/>
      <c r="N317" s="2"/>
      <c r="O317" s="2"/>
    </row>
    <row r="318">
      <c r="J318" s="2"/>
      <c r="K318" s="2"/>
      <c r="L318" s="2"/>
      <c r="M318" s="2"/>
      <c r="N318" s="2"/>
      <c r="O318" s="2"/>
    </row>
    <row r="319">
      <c r="J319" s="2"/>
      <c r="K319" s="2"/>
      <c r="L319" s="2"/>
      <c r="M319" s="2"/>
      <c r="N319" s="2"/>
      <c r="O319" s="2"/>
    </row>
    <row r="320">
      <c r="J320" s="2"/>
      <c r="K320" s="2"/>
      <c r="L320" s="2"/>
      <c r="M320" s="2"/>
      <c r="N320" s="2"/>
      <c r="O320" s="2"/>
    </row>
    <row r="321">
      <c r="J321" s="2"/>
      <c r="K321" s="2"/>
      <c r="L321" s="2"/>
      <c r="M321" s="2"/>
      <c r="N321" s="2"/>
      <c r="O321" s="2"/>
    </row>
    <row r="322">
      <c r="J322" s="2"/>
      <c r="K322" s="2"/>
      <c r="L322" s="2"/>
      <c r="M322" s="2"/>
      <c r="N322" s="2"/>
      <c r="O322" s="2"/>
    </row>
    <row r="323">
      <c r="J323" s="2"/>
      <c r="K323" s="2"/>
      <c r="L323" s="2"/>
      <c r="M323" s="2"/>
      <c r="N323" s="2"/>
      <c r="O323" s="2"/>
    </row>
    <row r="324">
      <c r="J324" s="2"/>
      <c r="K324" s="2"/>
      <c r="L324" s="2"/>
      <c r="M324" s="2"/>
      <c r="N324" s="2"/>
      <c r="O324" s="2"/>
    </row>
    <row r="325">
      <c r="J325" s="2"/>
      <c r="K325" s="2"/>
      <c r="L325" s="2"/>
      <c r="M325" s="2"/>
      <c r="N325" s="2"/>
      <c r="O325" s="2"/>
    </row>
    <row r="326">
      <c r="J326" s="2"/>
      <c r="K326" s="2"/>
      <c r="L326" s="2"/>
      <c r="M326" s="2"/>
      <c r="N326" s="2"/>
      <c r="O326" s="2"/>
    </row>
    <row r="327">
      <c r="J327" s="2"/>
      <c r="K327" s="2"/>
      <c r="L327" s="2"/>
      <c r="M327" s="2"/>
      <c r="N327" s="2"/>
      <c r="O327" s="2"/>
    </row>
    <row r="328">
      <c r="J328" s="2"/>
      <c r="K328" s="2"/>
      <c r="L328" s="2"/>
      <c r="M328" s="2"/>
      <c r="N328" s="2"/>
      <c r="O328" s="2"/>
    </row>
    <row r="329">
      <c r="J329" s="2"/>
      <c r="K329" s="2"/>
      <c r="L329" s="2"/>
      <c r="M329" s="2"/>
      <c r="N329" s="2"/>
      <c r="O329" s="2"/>
    </row>
    <row r="330">
      <c r="J330" s="2"/>
      <c r="K330" s="2"/>
      <c r="L330" s="2"/>
      <c r="M330" s="2"/>
      <c r="N330" s="2"/>
      <c r="O330" s="2"/>
    </row>
    <row r="331">
      <c r="J331" s="2"/>
      <c r="K331" s="2"/>
      <c r="L331" s="2"/>
      <c r="M331" s="2"/>
      <c r="N331" s="2"/>
      <c r="O331" s="2"/>
    </row>
    <row r="332">
      <c r="J332" s="2"/>
      <c r="K332" s="2"/>
      <c r="L332" s="2"/>
      <c r="M332" s="2"/>
      <c r="N332" s="2"/>
      <c r="O332" s="2"/>
    </row>
    <row r="333">
      <c r="J333" s="2"/>
      <c r="K333" s="2"/>
      <c r="L333" s="2"/>
      <c r="M333" s="2"/>
      <c r="N333" s="2"/>
      <c r="O333" s="2"/>
    </row>
    <row r="334">
      <c r="J334" s="2"/>
      <c r="K334" s="2"/>
      <c r="L334" s="2"/>
      <c r="M334" s="2"/>
      <c r="N334" s="2"/>
      <c r="O334" s="2"/>
    </row>
    <row r="335">
      <c r="J335" s="2"/>
      <c r="K335" s="2"/>
      <c r="L335" s="2"/>
      <c r="M335" s="2"/>
      <c r="N335" s="2"/>
      <c r="O335" s="2"/>
    </row>
    <row r="336">
      <c r="J336" s="2"/>
      <c r="K336" s="2"/>
      <c r="L336" s="2"/>
      <c r="M336" s="2"/>
      <c r="N336" s="2"/>
      <c r="O336" s="2"/>
    </row>
    <row r="337">
      <c r="J337" s="2"/>
      <c r="K337" s="2"/>
      <c r="L337" s="2"/>
      <c r="M337" s="2"/>
      <c r="N337" s="2"/>
      <c r="O337" s="2"/>
    </row>
    <row r="338">
      <c r="J338" s="2"/>
      <c r="K338" s="2"/>
      <c r="L338" s="2"/>
      <c r="M338" s="2"/>
      <c r="N338" s="2"/>
      <c r="O338" s="2"/>
    </row>
    <row r="339">
      <c r="J339" s="2"/>
      <c r="K339" s="2"/>
      <c r="L339" s="2"/>
      <c r="M339" s="2"/>
      <c r="N339" s="2"/>
      <c r="O339" s="2"/>
    </row>
    <row r="340">
      <c r="J340" s="2"/>
      <c r="K340" s="2"/>
      <c r="L340" s="2"/>
      <c r="M340" s="2"/>
      <c r="N340" s="2"/>
      <c r="O340" s="2"/>
    </row>
    <row r="341">
      <c r="J341" s="2"/>
      <c r="K341" s="2"/>
      <c r="L341" s="2"/>
      <c r="M341" s="2"/>
      <c r="N341" s="2"/>
      <c r="O341" s="2"/>
    </row>
    <row r="342">
      <c r="J342" s="2"/>
      <c r="K342" s="2"/>
      <c r="L342" s="2"/>
      <c r="M342" s="2"/>
      <c r="N342" s="2"/>
      <c r="O342" s="2"/>
    </row>
    <row r="343">
      <c r="J343" s="2"/>
      <c r="K343" s="2"/>
      <c r="L343" s="2"/>
      <c r="M343" s="2"/>
      <c r="N343" s="2"/>
      <c r="O343" s="2"/>
    </row>
    <row r="344">
      <c r="J344" s="2"/>
      <c r="K344" s="2"/>
      <c r="L344" s="2"/>
      <c r="M344" s="2"/>
      <c r="N344" s="2"/>
      <c r="O344" s="2"/>
    </row>
    <row r="345">
      <c r="J345" s="2"/>
      <c r="K345" s="2"/>
      <c r="L345" s="2"/>
      <c r="M345" s="2"/>
      <c r="N345" s="2"/>
      <c r="O345" s="2"/>
    </row>
    <row r="346">
      <c r="J346" s="2"/>
      <c r="K346" s="2"/>
      <c r="L346" s="2"/>
      <c r="M346" s="2"/>
      <c r="N346" s="2"/>
      <c r="O346" s="2"/>
    </row>
    <row r="347">
      <c r="J347" s="2"/>
      <c r="K347" s="2"/>
      <c r="L347" s="2"/>
      <c r="M347" s="2"/>
      <c r="N347" s="2"/>
      <c r="O347" s="2"/>
    </row>
    <row r="348">
      <c r="J348" s="2"/>
      <c r="K348" s="2"/>
      <c r="L348" s="2"/>
      <c r="M348" s="2"/>
      <c r="N348" s="2"/>
      <c r="O348" s="2"/>
    </row>
    <row r="349">
      <c r="J349" s="2"/>
      <c r="K349" s="2"/>
      <c r="L349" s="2"/>
      <c r="M349" s="2"/>
      <c r="N349" s="2"/>
      <c r="O349" s="2"/>
    </row>
    <row r="350">
      <c r="J350" s="2"/>
      <c r="K350" s="2"/>
      <c r="L350" s="2"/>
      <c r="M350" s="2"/>
      <c r="N350" s="2"/>
      <c r="O350" s="2"/>
    </row>
    <row r="351">
      <c r="J351" s="2"/>
      <c r="K351" s="2"/>
      <c r="L351" s="2"/>
      <c r="M351" s="2"/>
      <c r="N351" s="2"/>
      <c r="O351" s="2"/>
    </row>
    <row r="352">
      <c r="J352" s="2"/>
      <c r="K352" s="2"/>
      <c r="L352" s="2"/>
      <c r="M352" s="2"/>
      <c r="N352" s="2"/>
      <c r="O352" s="2"/>
    </row>
    <row r="353">
      <c r="J353" s="2"/>
      <c r="K353" s="2"/>
      <c r="L353" s="2"/>
      <c r="M353" s="2"/>
      <c r="N353" s="2"/>
      <c r="O353" s="2"/>
    </row>
    <row r="354">
      <c r="J354" s="2"/>
      <c r="K354" s="2"/>
      <c r="L354" s="2"/>
      <c r="M354" s="2"/>
      <c r="N354" s="2"/>
      <c r="O354" s="2"/>
    </row>
    <row r="355">
      <c r="J355" s="2"/>
      <c r="K355" s="2"/>
      <c r="L355" s="2"/>
      <c r="M355" s="2"/>
      <c r="N355" s="2"/>
      <c r="O355" s="2"/>
    </row>
    <row r="356">
      <c r="J356" s="2"/>
      <c r="K356" s="2"/>
      <c r="L356" s="2"/>
      <c r="M356" s="2"/>
      <c r="N356" s="2"/>
      <c r="O356" s="2"/>
    </row>
    <row r="357">
      <c r="J357" s="2"/>
      <c r="K357" s="2"/>
      <c r="L357" s="2"/>
      <c r="M357" s="2"/>
      <c r="N357" s="2"/>
      <c r="O357" s="2"/>
    </row>
    <row r="358">
      <c r="J358" s="2"/>
      <c r="K358" s="2"/>
      <c r="L358" s="2"/>
      <c r="M358" s="2"/>
      <c r="N358" s="2"/>
      <c r="O358" s="2"/>
    </row>
    <row r="359">
      <c r="J359" s="2"/>
      <c r="K359" s="2"/>
      <c r="L359" s="2"/>
      <c r="M359" s="2"/>
      <c r="N359" s="2"/>
      <c r="O359" s="2"/>
    </row>
    <row r="360">
      <c r="J360" s="2"/>
      <c r="K360" s="2"/>
      <c r="L360" s="2"/>
      <c r="M360" s="2"/>
      <c r="N360" s="2"/>
      <c r="O360" s="2"/>
    </row>
    <row r="361">
      <c r="J361" s="2"/>
      <c r="K361" s="2"/>
      <c r="L361" s="2"/>
      <c r="M361" s="2"/>
      <c r="N361" s="2"/>
      <c r="O361" s="2"/>
    </row>
    <row r="362">
      <c r="J362" s="2"/>
      <c r="K362" s="2"/>
      <c r="L362" s="2"/>
      <c r="M362" s="2"/>
      <c r="N362" s="2"/>
      <c r="O362" s="2"/>
    </row>
    <row r="363">
      <c r="J363" s="2"/>
      <c r="K363" s="2"/>
      <c r="L363" s="2"/>
      <c r="M363" s="2"/>
      <c r="N363" s="2"/>
      <c r="O363" s="2"/>
    </row>
    <row r="364">
      <c r="J364" s="2"/>
      <c r="K364" s="2"/>
      <c r="L364" s="2"/>
      <c r="M364" s="2"/>
      <c r="N364" s="2"/>
      <c r="O364" s="2"/>
    </row>
    <row r="365">
      <c r="J365" s="2"/>
      <c r="K365" s="2"/>
      <c r="L365" s="2"/>
      <c r="M365" s="2"/>
      <c r="N365" s="2"/>
      <c r="O365" s="2"/>
    </row>
    <row r="366">
      <c r="J366" s="2"/>
      <c r="K366" s="2"/>
      <c r="L366" s="2"/>
      <c r="M366" s="2"/>
      <c r="N366" s="2"/>
      <c r="O366" s="2"/>
    </row>
    <row r="367">
      <c r="J367" s="2"/>
      <c r="K367" s="2"/>
      <c r="L367" s="2"/>
      <c r="M367" s="2"/>
      <c r="N367" s="2"/>
      <c r="O367" s="2"/>
    </row>
    <row r="368">
      <c r="J368" s="2"/>
      <c r="K368" s="2"/>
      <c r="L368" s="2"/>
      <c r="M368" s="2"/>
      <c r="N368" s="2"/>
      <c r="O368" s="2"/>
    </row>
    <row r="369">
      <c r="J369" s="2"/>
      <c r="K369" s="2"/>
      <c r="L369" s="2"/>
      <c r="M369" s="2"/>
      <c r="N369" s="2"/>
      <c r="O369" s="2"/>
    </row>
    <row r="370">
      <c r="J370" s="2"/>
      <c r="K370" s="2"/>
      <c r="L370" s="2"/>
      <c r="M370" s="2"/>
      <c r="N370" s="2"/>
      <c r="O370" s="2"/>
    </row>
    <row r="371">
      <c r="J371" s="2"/>
      <c r="K371" s="2"/>
      <c r="L371" s="2"/>
      <c r="M371" s="2"/>
      <c r="N371" s="2"/>
      <c r="O371" s="2"/>
    </row>
    <row r="372">
      <c r="J372" s="2"/>
      <c r="K372" s="2"/>
      <c r="L372" s="2"/>
      <c r="M372" s="2"/>
      <c r="N372" s="2"/>
      <c r="O372" s="2"/>
    </row>
    <row r="373">
      <c r="J373" s="2"/>
      <c r="K373" s="2"/>
      <c r="L373" s="2"/>
      <c r="M373" s="2"/>
      <c r="N373" s="2"/>
      <c r="O373" s="2"/>
    </row>
    <row r="374">
      <c r="J374" s="2"/>
      <c r="K374" s="2"/>
      <c r="L374" s="2"/>
      <c r="M374" s="2"/>
      <c r="N374" s="2"/>
      <c r="O374" s="2"/>
    </row>
    <row r="375">
      <c r="J375" s="2"/>
      <c r="K375" s="2"/>
      <c r="L375" s="2"/>
      <c r="M375" s="2"/>
      <c r="N375" s="2"/>
      <c r="O375" s="2"/>
    </row>
    <row r="376">
      <c r="J376" s="2"/>
      <c r="K376" s="2"/>
      <c r="L376" s="2"/>
      <c r="M376" s="2"/>
      <c r="N376" s="2"/>
      <c r="O376" s="2"/>
    </row>
    <row r="377">
      <c r="J377" s="2"/>
      <c r="K377" s="2"/>
      <c r="L377" s="2"/>
      <c r="M377" s="2"/>
      <c r="N377" s="2"/>
      <c r="O377" s="2"/>
    </row>
    <row r="378">
      <c r="J378" s="2"/>
      <c r="K378" s="2"/>
      <c r="L378" s="2"/>
      <c r="M378" s="2"/>
      <c r="N378" s="2"/>
      <c r="O378" s="2"/>
    </row>
    <row r="379">
      <c r="J379" s="2"/>
      <c r="K379" s="2"/>
      <c r="L379" s="2"/>
      <c r="M379" s="2"/>
      <c r="N379" s="2"/>
      <c r="O379" s="2"/>
    </row>
    <row r="380">
      <c r="J380" s="2"/>
      <c r="K380" s="2"/>
      <c r="L380" s="2"/>
      <c r="M380" s="2"/>
      <c r="N380" s="2"/>
      <c r="O380" s="2"/>
    </row>
    <row r="381">
      <c r="J381" s="2"/>
      <c r="K381" s="2"/>
      <c r="L381" s="2"/>
      <c r="M381" s="2"/>
      <c r="N381" s="2"/>
      <c r="O381" s="2"/>
    </row>
    <row r="382">
      <c r="J382" s="2"/>
      <c r="K382" s="2"/>
      <c r="L382" s="2"/>
      <c r="M382" s="2"/>
      <c r="N382" s="2"/>
      <c r="O382" s="2"/>
    </row>
    <row r="383">
      <c r="J383" s="2"/>
      <c r="K383" s="2"/>
      <c r="L383" s="2"/>
      <c r="M383" s="2"/>
      <c r="N383" s="2"/>
      <c r="O383" s="2"/>
    </row>
    <row r="384">
      <c r="J384" s="2"/>
      <c r="K384" s="2"/>
      <c r="L384" s="2"/>
      <c r="M384" s="2"/>
      <c r="N384" s="2"/>
      <c r="O384" s="2"/>
    </row>
    <row r="385">
      <c r="J385" s="2"/>
      <c r="K385" s="2"/>
      <c r="L385" s="2"/>
      <c r="M385" s="2"/>
      <c r="N385" s="2"/>
      <c r="O385" s="2"/>
    </row>
    <row r="386">
      <c r="J386" s="2"/>
      <c r="K386" s="2"/>
      <c r="L386" s="2"/>
      <c r="M386" s="2"/>
      <c r="N386" s="2"/>
      <c r="O386" s="2"/>
    </row>
    <row r="387">
      <c r="J387" s="2"/>
      <c r="K387" s="2"/>
      <c r="L387" s="2"/>
      <c r="M387" s="2"/>
      <c r="N387" s="2"/>
      <c r="O387" s="2"/>
    </row>
    <row r="388">
      <c r="J388" s="2"/>
      <c r="K388" s="2"/>
      <c r="L388" s="2"/>
      <c r="M388" s="2"/>
      <c r="N388" s="2"/>
      <c r="O388" s="2"/>
    </row>
    <row r="389">
      <c r="J389" s="2"/>
      <c r="K389" s="2"/>
      <c r="L389" s="2"/>
      <c r="M389" s="2"/>
      <c r="N389" s="2"/>
      <c r="O389" s="2"/>
    </row>
    <row r="390">
      <c r="J390" s="2"/>
      <c r="K390" s="2"/>
      <c r="L390" s="2"/>
      <c r="M390" s="2"/>
      <c r="N390" s="2"/>
      <c r="O390" s="2"/>
    </row>
    <row r="391">
      <c r="J391" s="2"/>
      <c r="K391" s="2"/>
      <c r="L391" s="2"/>
      <c r="M391" s="2"/>
      <c r="N391" s="2"/>
      <c r="O391" s="2"/>
    </row>
    <row r="392">
      <c r="J392" s="2"/>
      <c r="K392" s="2"/>
      <c r="L392" s="2"/>
      <c r="M392" s="2"/>
      <c r="N392" s="2"/>
      <c r="O392" s="2"/>
    </row>
    <row r="393">
      <c r="J393" s="2"/>
      <c r="K393" s="2"/>
      <c r="L393" s="2"/>
      <c r="M393" s="2"/>
      <c r="N393" s="2"/>
      <c r="O393" s="2"/>
    </row>
    <row r="394">
      <c r="J394" s="2"/>
      <c r="K394" s="2"/>
      <c r="L394" s="2"/>
      <c r="M394" s="2"/>
      <c r="N394" s="2"/>
      <c r="O394" s="2"/>
    </row>
    <row r="395">
      <c r="J395" s="2"/>
      <c r="K395" s="2"/>
      <c r="L395" s="2"/>
      <c r="M395" s="2"/>
      <c r="N395" s="2"/>
      <c r="O395" s="2"/>
    </row>
    <row r="396">
      <c r="J396" s="2"/>
      <c r="K396" s="2"/>
      <c r="L396" s="2"/>
      <c r="M396" s="2"/>
      <c r="N396" s="2"/>
      <c r="O396" s="2"/>
    </row>
    <row r="397">
      <c r="J397" s="2"/>
      <c r="K397" s="2"/>
      <c r="L397" s="2"/>
      <c r="M397" s="2"/>
      <c r="N397" s="2"/>
      <c r="O397" s="2"/>
    </row>
    <row r="398">
      <c r="J398" s="2"/>
      <c r="K398" s="2"/>
      <c r="L398" s="2"/>
      <c r="M398" s="2"/>
      <c r="N398" s="2"/>
      <c r="O398" s="2"/>
    </row>
    <row r="399">
      <c r="J399" s="2"/>
      <c r="K399" s="2"/>
      <c r="L399" s="2"/>
      <c r="M399" s="2"/>
      <c r="N399" s="2"/>
      <c r="O399" s="2"/>
    </row>
    <row r="400">
      <c r="J400" s="2"/>
      <c r="K400" s="2"/>
      <c r="L400" s="2"/>
      <c r="M400" s="2"/>
      <c r="N400" s="2"/>
      <c r="O400" s="2"/>
    </row>
    <row r="401">
      <c r="J401" s="2"/>
      <c r="K401" s="2"/>
      <c r="L401" s="2"/>
      <c r="M401" s="2"/>
      <c r="N401" s="2"/>
      <c r="O401" s="2"/>
    </row>
    <row r="402">
      <c r="J402" s="2"/>
      <c r="K402" s="2"/>
      <c r="L402" s="2"/>
      <c r="M402" s="2"/>
      <c r="N402" s="2"/>
      <c r="O402" s="2"/>
    </row>
    <row r="403">
      <c r="J403" s="2"/>
      <c r="K403" s="2"/>
      <c r="L403" s="2"/>
      <c r="M403" s="2"/>
      <c r="N403" s="2"/>
      <c r="O403" s="2"/>
    </row>
    <row r="404">
      <c r="J404" s="2"/>
      <c r="K404" s="2"/>
      <c r="L404" s="2"/>
      <c r="M404" s="2"/>
      <c r="N404" s="2"/>
      <c r="O404" s="2"/>
    </row>
    <row r="405">
      <c r="J405" s="2"/>
      <c r="K405" s="2"/>
      <c r="L405" s="2"/>
      <c r="M405" s="2"/>
      <c r="N405" s="2"/>
      <c r="O405" s="2"/>
    </row>
    <row r="406">
      <c r="J406" s="2"/>
      <c r="K406" s="2"/>
      <c r="L406" s="2"/>
      <c r="M406" s="2"/>
      <c r="N406" s="2"/>
      <c r="O406" s="2"/>
    </row>
    <row r="407">
      <c r="J407" s="2"/>
      <c r="K407" s="2"/>
      <c r="L407" s="2"/>
      <c r="M407" s="2"/>
      <c r="N407" s="2"/>
      <c r="O407" s="2"/>
    </row>
    <row r="408">
      <c r="J408" s="2"/>
      <c r="K408" s="2"/>
      <c r="L408" s="2"/>
      <c r="M408" s="2"/>
      <c r="N408" s="2"/>
      <c r="O408" s="2"/>
    </row>
    <row r="409">
      <c r="J409" s="2"/>
      <c r="K409" s="2"/>
      <c r="L409" s="2"/>
      <c r="M409" s="2"/>
      <c r="N409" s="2"/>
      <c r="O409" s="2"/>
    </row>
    <row r="410">
      <c r="J410" s="2"/>
      <c r="K410" s="2"/>
      <c r="L410" s="2"/>
      <c r="M410" s="2"/>
      <c r="N410" s="2"/>
      <c r="O410" s="2"/>
    </row>
    <row r="411">
      <c r="J411" s="2"/>
      <c r="K411" s="2"/>
      <c r="L411" s="2"/>
      <c r="M411" s="2"/>
      <c r="N411" s="2"/>
      <c r="O411" s="2"/>
    </row>
    <row r="412">
      <c r="J412" s="2"/>
      <c r="K412" s="2"/>
      <c r="L412" s="2"/>
      <c r="M412" s="2"/>
      <c r="N412" s="2"/>
      <c r="O412" s="2"/>
    </row>
    <row r="413">
      <c r="J413" s="2"/>
      <c r="K413" s="2"/>
      <c r="L413" s="2"/>
      <c r="M413" s="2"/>
      <c r="N413" s="2"/>
      <c r="O413" s="2"/>
    </row>
    <row r="414">
      <c r="J414" s="2"/>
      <c r="K414" s="2"/>
      <c r="L414" s="2"/>
      <c r="M414" s="2"/>
      <c r="N414" s="2"/>
      <c r="O414" s="2"/>
    </row>
    <row r="415">
      <c r="J415" s="2"/>
      <c r="K415" s="2"/>
      <c r="L415" s="2"/>
      <c r="M415" s="2"/>
      <c r="N415" s="2"/>
      <c r="O415" s="2"/>
    </row>
    <row r="416">
      <c r="J416" s="2"/>
      <c r="K416" s="2"/>
      <c r="L416" s="2"/>
      <c r="M416" s="2"/>
      <c r="N416" s="2"/>
      <c r="O416" s="2"/>
    </row>
    <row r="417">
      <c r="J417" s="2"/>
      <c r="K417" s="2"/>
      <c r="L417" s="2"/>
      <c r="M417" s="2"/>
      <c r="N417" s="2"/>
      <c r="O417" s="2"/>
    </row>
    <row r="418">
      <c r="J418" s="2"/>
      <c r="K418" s="2"/>
      <c r="L418" s="2"/>
      <c r="M418" s="2"/>
      <c r="N418" s="2"/>
      <c r="O418" s="2"/>
    </row>
    <row r="419">
      <c r="J419" s="2"/>
      <c r="K419" s="2"/>
      <c r="L419" s="2"/>
      <c r="M419" s="2"/>
      <c r="N419" s="2"/>
      <c r="O419" s="2"/>
    </row>
    <row r="420">
      <c r="J420" s="2"/>
      <c r="K420" s="2"/>
      <c r="L420" s="2"/>
      <c r="M420" s="2"/>
      <c r="N420" s="2"/>
      <c r="O420" s="2"/>
    </row>
    <row r="421">
      <c r="J421" s="2"/>
      <c r="K421" s="2"/>
      <c r="L421" s="2"/>
      <c r="M421" s="2"/>
      <c r="N421" s="2"/>
      <c r="O421" s="2"/>
    </row>
    <row r="422">
      <c r="J422" s="2"/>
      <c r="K422" s="2"/>
      <c r="L422" s="2"/>
      <c r="M422" s="2"/>
      <c r="N422" s="2"/>
      <c r="O422" s="2"/>
    </row>
    <row r="423">
      <c r="J423" s="2"/>
      <c r="K423" s="2"/>
      <c r="L423" s="2"/>
      <c r="M423" s="2"/>
      <c r="N423" s="2"/>
      <c r="O423" s="2"/>
    </row>
    <row r="424">
      <c r="J424" s="2"/>
      <c r="K424" s="2"/>
      <c r="L424" s="2"/>
      <c r="M424" s="2"/>
      <c r="N424" s="2"/>
      <c r="O424" s="2"/>
    </row>
    <row r="425">
      <c r="J425" s="2"/>
      <c r="K425" s="2"/>
      <c r="L425" s="2"/>
      <c r="M425" s="2"/>
      <c r="N425" s="2"/>
      <c r="O425" s="2"/>
    </row>
    <row r="426">
      <c r="J426" s="2"/>
      <c r="K426" s="2"/>
      <c r="L426" s="2"/>
      <c r="M426" s="2"/>
      <c r="N426" s="2"/>
      <c r="O426" s="2"/>
    </row>
    <row r="427">
      <c r="J427" s="2"/>
      <c r="K427" s="2"/>
      <c r="L427" s="2"/>
      <c r="M427" s="2"/>
      <c r="N427" s="2"/>
      <c r="O427" s="2"/>
    </row>
    <row r="428">
      <c r="J428" s="2"/>
      <c r="K428" s="2"/>
      <c r="L428" s="2"/>
      <c r="M428" s="2"/>
      <c r="N428" s="2"/>
      <c r="O428" s="2"/>
    </row>
    <row r="429">
      <c r="J429" s="2"/>
      <c r="K429" s="2"/>
      <c r="L429" s="2"/>
      <c r="M429" s="2"/>
      <c r="N429" s="2"/>
      <c r="O429" s="2"/>
    </row>
    <row r="430">
      <c r="J430" s="2"/>
      <c r="K430" s="2"/>
      <c r="L430" s="2"/>
      <c r="M430" s="2"/>
      <c r="N430" s="2"/>
      <c r="O430" s="2"/>
    </row>
    <row r="431">
      <c r="J431" s="2"/>
      <c r="K431" s="2"/>
      <c r="L431" s="2"/>
      <c r="M431" s="2"/>
      <c r="N431" s="2"/>
      <c r="O431" s="2"/>
    </row>
    <row r="432">
      <c r="J432" s="2"/>
      <c r="K432" s="2"/>
      <c r="L432" s="2"/>
      <c r="M432" s="2"/>
      <c r="N432" s="2"/>
      <c r="O432" s="2"/>
    </row>
    <row r="433">
      <c r="J433" s="2"/>
      <c r="K433" s="2"/>
      <c r="L433" s="2"/>
      <c r="M433" s="2"/>
      <c r="N433" s="2"/>
      <c r="O433" s="2"/>
    </row>
    <row r="434">
      <c r="J434" s="2"/>
      <c r="K434" s="2"/>
      <c r="L434" s="2"/>
      <c r="M434" s="2"/>
      <c r="N434" s="2"/>
      <c r="O434" s="2"/>
    </row>
    <row r="435">
      <c r="J435" s="2"/>
      <c r="K435" s="2"/>
      <c r="L435" s="2"/>
      <c r="M435" s="2"/>
      <c r="N435" s="2"/>
      <c r="O435" s="2"/>
    </row>
    <row r="436">
      <c r="J436" s="2"/>
      <c r="K436" s="2"/>
      <c r="L436" s="2"/>
      <c r="M436" s="2"/>
      <c r="N436" s="2"/>
      <c r="O436" s="2"/>
    </row>
    <row r="437">
      <c r="J437" s="2"/>
      <c r="K437" s="2"/>
      <c r="L437" s="2"/>
      <c r="M437" s="2"/>
      <c r="N437" s="2"/>
      <c r="O437" s="2"/>
    </row>
    <row r="438">
      <c r="J438" s="2"/>
      <c r="K438" s="2"/>
      <c r="L438" s="2"/>
      <c r="M438" s="2"/>
      <c r="N438" s="2"/>
      <c r="O438" s="2"/>
    </row>
    <row r="439">
      <c r="J439" s="2"/>
      <c r="K439" s="2"/>
      <c r="L439" s="2"/>
      <c r="M439" s="2"/>
      <c r="N439" s="2"/>
      <c r="O439" s="2"/>
    </row>
    <row r="440">
      <c r="J440" s="2"/>
      <c r="K440" s="2"/>
      <c r="L440" s="2"/>
      <c r="M440" s="2"/>
      <c r="N440" s="2"/>
      <c r="O440" s="2"/>
    </row>
    <row r="441">
      <c r="J441" s="2"/>
      <c r="K441" s="2"/>
      <c r="L441" s="2"/>
      <c r="M441" s="2"/>
      <c r="N441" s="2"/>
      <c r="O441" s="2"/>
    </row>
    <row r="442">
      <c r="J442" s="2"/>
      <c r="K442" s="2"/>
      <c r="L442" s="2"/>
      <c r="M442" s="2"/>
      <c r="N442" s="2"/>
      <c r="O442" s="2"/>
    </row>
    <row r="443">
      <c r="J443" s="2"/>
      <c r="K443" s="2"/>
      <c r="L443" s="2"/>
      <c r="M443" s="2"/>
      <c r="N443" s="2"/>
      <c r="O443" s="2"/>
    </row>
    <row r="444">
      <c r="J444" s="2"/>
      <c r="K444" s="2"/>
      <c r="L444" s="2"/>
      <c r="M444" s="2"/>
      <c r="N444" s="2"/>
      <c r="O444" s="2"/>
    </row>
    <row r="445">
      <c r="J445" s="2"/>
      <c r="K445" s="2"/>
      <c r="L445" s="2"/>
      <c r="M445" s="2"/>
      <c r="N445" s="2"/>
      <c r="O445" s="2"/>
    </row>
    <row r="446">
      <c r="J446" s="2"/>
      <c r="K446" s="2"/>
      <c r="L446" s="2"/>
      <c r="M446" s="2"/>
      <c r="N446" s="2"/>
      <c r="O446" s="2"/>
    </row>
    <row r="447">
      <c r="J447" s="2"/>
      <c r="K447" s="2"/>
      <c r="L447" s="2"/>
      <c r="M447" s="2"/>
      <c r="N447" s="2"/>
      <c r="O447" s="2"/>
    </row>
    <row r="448">
      <c r="J448" s="2"/>
      <c r="K448" s="2"/>
      <c r="L448" s="2"/>
      <c r="M448" s="2"/>
      <c r="N448" s="2"/>
      <c r="O448" s="2"/>
    </row>
    <row r="449">
      <c r="J449" s="2"/>
      <c r="K449" s="2"/>
      <c r="L449" s="2"/>
      <c r="M449" s="2"/>
      <c r="N449" s="2"/>
      <c r="O449" s="2"/>
    </row>
    <row r="450">
      <c r="J450" s="2"/>
      <c r="K450" s="2"/>
      <c r="L450" s="2"/>
      <c r="M450" s="2"/>
      <c r="N450" s="2"/>
      <c r="O450" s="2"/>
    </row>
    <row r="451">
      <c r="J451" s="2"/>
      <c r="K451" s="2"/>
      <c r="L451" s="2"/>
      <c r="M451" s="2"/>
      <c r="N451" s="2"/>
      <c r="O451" s="2"/>
    </row>
    <row r="452">
      <c r="J452" s="2"/>
      <c r="K452" s="2"/>
      <c r="L452" s="2"/>
      <c r="M452" s="2"/>
      <c r="N452" s="2"/>
      <c r="O452" s="2"/>
    </row>
    <row r="453">
      <c r="J453" s="2"/>
      <c r="K453" s="2"/>
      <c r="L453" s="2"/>
      <c r="M453" s="2"/>
      <c r="N453" s="2"/>
      <c r="O453" s="2"/>
    </row>
    <row r="454">
      <c r="J454" s="2"/>
      <c r="K454" s="2"/>
      <c r="L454" s="2"/>
      <c r="M454" s="2"/>
      <c r="N454" s="2"/>
      <c r="O454" s="2"/>
    </row>
    <row r="455">
      <c r="J455" s="2"/>
      <c r="K455" s="2"/>
      <c r="L455" s="2"/>
      <c r="M455" s="2"/>
      <c r="N455" s="2"/>
      <c r="O455" s="2"/>
    </row>
    <row r="456">
      <c r="J456" s="2"/>
      <c r="K456" s="2"/>
      <c r="L456" s="2"/>
      <c r="M456" s="2"/>
      <c r="N456" s="2"/>
      <c r="O456" s="2"/>
    </row>
    <row r="457">
      <c r="J457" s="2"/>
      <c r="K457" s="2"/>
      <c r="L457" s="2"/>
      <c r="M457" s="2"/>
      <c r="N457" s="2"/>
      <c r="O457" s="2"/>
    </row>
    <row r="458">
      <c r="J458" s="2"/>
      <c r="K458" s="2"/>
      <c r="L458" s="2"/>
      <c r="M458" s="2"/>
      <c r="N458" s="2"/>
      <c r="O458" s="2"/>
    </row>
    <row r="459">
      <c r="J459" s="2"/>
      <c r="K459" s="2"/>
      <c r="L459" s="2"/>
      <c r="M459" s="2"/>
      <c r="N459" s="2"/>
      <c r="O459" s="2"/>
    </row>
    <row r="460">
      <c r="J460" s="2"/>
      <c r="K460" s="2"/>
      <c r="L460" s="2"/>
      <c r="M460" s="2"/>
      <c r="N460" s="2"/>
      <c r="O460" s="2"/>
    </row>
    <row r="461">
      <c r="J461" s="2"/>
      <c r="K461" s="2"/>
      <c r="L461" s="2"/>
      <c r="M461" s="2"/>
      <c r="N461" s="2"/>
      <c r="O461" s="2"/>
    </row>
    <row r="462">
      <c r="J462" s="2"/>
      <c r="K462" s="2"/>
      <c r="L462" s="2"/>
      <c r="M462" s="2"/>
      <c r="N462" s="2"/>
      <c r="O462" s="2"/>
    </row>
    <row r="463">
      <c r="J463" s="2"/>
      <c r="K463" s="2"/>
      <c r="L463" s="2"/>
      <c r="M463" s="2"/>
      <c r="N463" s="2"/>
      <c r="O463" s="2"/>
    </row>
    <row r="464">
      <c r="J464" s="2"/>
      <c r="K464" s="2"/>
      <c r="L464" s="2"/>
      <c r="M464" s="2"/>
      <c r="N464" s="2"/>
      <c r="O464" s="2"/>
    </row>
    <row r="465">
      <c r="J465" s="2"/>
      <c r="K465" s="2"/>
      <c r="L465" s="2"/>
      <c r="M465" s="2"/>
      <c r="N465" s="2"/>
      <c r="O465" s="2"/>
    </row>
    <row r="466">
      <c r="J466" s="2"/>
      <c r="K466" s="2"/>
      <c r="L466" s="2"/>
      <c r="M466" s="2"/>
      <c r="N466" s="2"/>
      <c r="O466" s="2"/>
    </row>
    <row r="467">
      <c r="J467" s="2"/>
      <c r="K467" s="2"/>
      <c r="L467" s="2"/>
      <c r="M467" s="2"/>
      <c r="N467" s="2"/>
      <c r="O467" s="2"/>
    </row>
    <row r="468">
      <c r="J468" s="2"/>
      <c r="K468" s="2"/>
      <c r="L468" s="2"/>
      <c r="M468" s="2"/>
      <c r="N468" s="2"/>
      <c r="O468" s="2"/>
    </row>
    <row r="469">
      <c r="J469" s="2"/>
      <c r="K469" s="2"/>
      <c r="L469" s="2"/>
      <c r="M469" s="2"/>
      <c r="N469" s="2"/>
      <c r="O469" s="2"/>
    </row>
    <row r="470">
      <c r="J470" s="2"/>
      <c r="K470" s="2"/>
      <c r="L470" s="2"/>
      <c r="M470" s="2"/>
      <c r="N470" s="2"/>
      <c r="O470" s="2"/>
    </row>
    <row r="471">
      <c r="J471" s="2"/>
      <c r="K471" s="2"/>
      <c r="L471" s="2"/>
      <c r="M471" s="2"/>
      <c r="N471" s="2"/>
      <c r="O471" s="2"/>
    </row>
    <row r="472">
      <c r="J472" s="2"/>
      <c r="K472" s="2"/>
      <c r="L472" s="2"/>
      <c r="M472" s="2"/>
      <c r="N472" s="2"/>
      <c r="O472" s="2"/>
    </row>
    <row r="473">
      <c r="J473" s="2"/>
      <c r="K473" s="2"/>
      <c r="L473" s="2"/>
      <c r="M473" s="2"/>
      <c r="N473" s="2"/>
      <c r="O473" s="2"/>
    </row>
    <row r="474">
      <c r="J474" s="2"/>
      <c r="K474" s="2"/>
      <c r="L474" s="2"/>
      <c r="M474" s="2"/>
      <c r="N474" s="2"/>
      <c r="O474" s="2"/>
    </row>
    <row r="475">
      <c r="J475" s="2"/>
      <c r="K475" s="2"/>
      <c r="L475" s="2"/>
      <c r="M475" s="2"/>
      <c r="N475" s="2"/>
      <c r="O475" s="2"/>
    </row>
    <row r="476">
      <c r="J476" s="2"/>
      <c r="K476" s="2"/>
      <c r="L476" s="2"/>
      <c r="M476" s="2"/>
      <c r="N476" s="2"/>
      <c r="O476" s="2"/>
    </row>
    <row r="477">
      <c r="J477" s="2"/>
      <c r="K477" s="2"/>
      <c r="L477" s="2"/>
      <c r="M477" s="2"/>
      <c r="N477" s="2"/>
      <c r="O477" s="2"/>
    </row>
    <row r="478">
      <c r="J478" s="2"/>
      <c r="K478" s="2"/>
      <c r="L478" s="2"/>
      <c r="M478" s="2"/>
      <c r="N478" s="2"/>
      <c r="O478" s="2"/>
    </row>
    <row r="479">
      <c r="J479" s="2"/>
      <c r="K479" s="2"/>
      <c r="L479" s="2"/>
      <c r="M479" s="2"/>
      <c r="N479" s="2"/>
      <c r="O479" s="2"/>
    </row>
    <row r="480">
      <c r="J480" s="2"/>
      <c r="K480" s="2"/>
      <c r="L480" s="2"/>
      <c r="M480" s="2"/>
      <c r="N480" s="2"/>
      <c r="O480" s="2"/>
    </row>
    <row r="481">
      <c r="J481" s="2"/>
      <c r="K481" s="2"/>
      <c r="L481" s="2"/>
      <c r="M481" s="2"/>
      <c r="N481" s="2"/>
      <c r="O481" s="2"/>
    </row>
    <row r="482">
      <c r="J482" s="2"/>
      <c r="K482" s="2"/>
      <c r="L482" s="2"/>
      <c r="M482" s="2"/>
      <c r="N482" s="2"/>
      <c r="O482" s="2"/>
    </row>
    <row r="483">
      <c r="J483" s="2"/>
      <c r="K483" s="2"/>
      <c r="L483" s="2"/>
      <c r="M483" s="2"/>
      <c r="N483" s="2"/>
      <c r="O483" s="2"/>
    </row>
    <row r="484">
      <c r="J484" s="2"/>
      <c r="K484" s="2"/>
      <c r="L484" s="2"/>
      <c r="M484" s="2"/>
      <c r="N484" s="2"/>
      <c r="O484" s="2"/>
    </row>
    <row r="485">
      <c r="J485" s="2"/>
      <c r="K485" s="2"/>
      <c r="L485" s="2"/>
      <c r="M485" s="2"/>
      <c r="N485" s="2"/>
      <c r="O485" s="2"/>
    </row>
    <row r="486">
      <c r="J486" s="2"/>
      <c r="K486" s="2"/>
      <c r="L486" s="2"/>
      <c r="M486" s="2"/>
      <c r="N486" s="2"/>
      <c r="O486" s="2"/>
    </row>
    <row r="487">
      <c r="J487" s="2"/>
      <c r="K487" s="2"/>
      <c r="L487" s="2"/>
      <c r="M487" s="2"/>
      <c r="N487" s="2"/>
      <c r="O487" s="2"/>
    </row>
    <row r="488">
      <c r="J488" s="2"/>
      <c r="K488" s="2"/>
      <c r="L488" s="2"/>
      <c r="M488" s="2"/>
      <c r="N488" s="2"/>
      <c r="O488" s="2"/>
    </row>
    <row r="489">
      <c r="J489" s="2"/>
      <c r="K489" s="2"/>
      <c r="L489" s="2"/>
      <c r="M489" s="2"/>
      <c r="N489" s="2"/>
      <c r="O489" s="2"/>
    </row>
    <row r="490">
      <c r="J490" s="2"/>
      <c r="K490" s="2"/>
      <c r="L490" s="2"/>
      <c r="M490" s="2"/>
      <c r="N490" s="2"/>
      <c r="O490" s="2"/>
    </row>
    <row r="491">
      <c r="J491" s="2"/>
      <c r="K491" s="2"/>
      <c r="L491" s="2"/>
      <c r="M491" s="2"/>
      <c r="N491" s="2"/>
      <c r="O491" s="2"/>
    </row>
    <row r="492">
      <c r="J492" s="2"/>
      <c r="K492" s="2"/>
      <c r="L492" s="2"/>
      <c r="M492" s="2"/>
      <c r="N492" s="2"/>
      <c r="O492" s="2"/>
    </row>
    <row r="493">
      <c r="J493" s="2"/>
      <c r="K493" s="2"/>
      <c r="L493" s="2"/>
      <c r="M493" s="2"/>
      <c r="N493" s="2"/>
      <c r="O493" s="2"/>
    </row>
    <row r="494">
      <c r="J494" s="2"/>
      <c r="K494" s="2"/>
      <c r="L494" s="2"/>
      <c r="M494" s="2"/>
      <c r="N494" s="2"/>
      <c r="O494" s="2"/>
    </row>
    <row r="495">
      <c r="J495" s="2"/>
      <c r="K495" s="2"/>
      <c r="L495" s="2"/>
      <c r="M495" s="2"/>
      <c r="N495" s="2"/>
      <c r="O495" s="2"/>
    </row>
    <row r="496">
      <c r="J496" s="2"/>
      <c r="K496" s="2"/>
      <c r="L496" s="2"/>
      <c r="M496" s="2"/>
      <c r="N496" s="2"/>
      <c r="O496" s="2"/>
    </row>
    <row r="497">
      <c r="J497" s="2"/>
      <c r="K497" s="2"/>
      <c r="L497" s="2"/>
      <c r="M497" s="2"/>
      <c r="N497" s="2"/>
      <c r="O497" s="2"/>
    </row>
    <row r="498">
      <c r="J498" s="2"/>
      <c r="K498" s="2"/>
      <c r="L498" s="2"/>
      <c r="M498" s="2"/>
      <c r="N498" s="2"/>
      <c r="O498" s="2"/>
    </row>
    <row r="499">
      <c r="J499" s="2"/>
      <c r="K499" s="2"/>
      <c r="L499" s="2"/>
      <c r="M499" s="2"/>
      <c r="N499" s="2"/>
      <c r="O499" s="2"/>
    </row>
    <row r="500">
      <c r="J500" s="2"/>
      <c r="K500" s="2"/>
      <c r="L500" s="2"/>
      <c r="M500" s="2"/>
      <c r="N500" s="2"/>
      <c r="O500" s="2"/>
    </row>
    <row r="501">
      <c r="J501" s="2"/>
      <c r="K501" s="2"/>
      <c r="L501" s="2"/>
      <c r="M501" s="2"/>
      <c r="N501" s="2"/>
      <c r="O501" s="2"/>
    </row>
    <row r="502">
      <c r="J502" s="2"/>
      <c r="K502" s="2"/>
      <c r="L502" s="2"/>
      <c r="M502" s="2"/>
      <c r="N502" s="2"/>
      <c r="O502" s="2"/>
    </row>
    <row r="503">
      <c r="J503" s="2"/>
      <c r="K503" s="2"/>
      <c r="L503" s="2"/>
      <c r="M503" s="2"/>
      <c r="N503" s="2"/>
      <c r="O503" s="2"/>
    </row>
    <row r="504">
      <c r="J504" s="2"/>
      <c r="K504" s="2"/>
      <c r="L504" s="2"/>
      <c r="M504" s="2"/>
      <c r="N504" s="2"/>
      <c r="O504" s="2"/>
    </row>
    <row r="505">
      <c r="J505" s="2"/>
      <c r="K505" s="2"/>
      <c r="L505" s="2"/>
      <c r="M505" s="2"/>
      <c r="N505" s="2"/>
      <c r="O505" s="2"/>
    </row>
    <row r="506">
      <c r="J506" s="2"/>
      <c r="K506" s="2"/>
      <c r="L506" s="2"/>
      <c r="M506" s="2"/>
      <c r="N506" s="2"/>
      <c r="O506" s="2"/>
    </row>
    <row r="507">
      <c r="J507" s="2"/>
      <c r="K507" s="2"/>
      <c r="L507" s="2"/>
      <c r="M507" s="2"/>
      <c r="N507" s="2"/>
      <c r="O507" s="2"/>
    </row>
    <row r="508">
      <c r="J508" s="2"/>
      <c r="K508" s="2"/>
      <c r="L508" s="2"/>
      <c r="M508" s="2"/>
      <c r="N508" s="2"/>
      <c r="O508" s="2"/>
    </row>
    <row r="509">
      <c r="J509" s="2"/>
      <c r="K509" s="2"/>
      <c r="L509" s="2"/>
      <c r="M509" s="2"/>
      <c r="N509" s="2"/>
      <c r="O509" s="2"/>
    </row>
    <row r="510">
      <c r="J510" s="2"/>
      <c r="K510" s="2"/>
      <c r="L510" s="2"/>
      <c r="M510" s="2"/>
      <c r="N510" s="2"/>
      <c r="O510" s="2"/>
    </row>
    <row r="511">
      <c r="J511" s="2"/>
      <c r="K511" s="2"/>
      <c r="L511" s="2"/>
      <c r="M511" s="2"/>
      <c r="N511" s="2"/>
      <c r="O511" s="2"/>
    </row>
    <row r="512">
      <c r="J512" s="2"/>
      <c r="K512" s="2"/>
      <c r="L512" s="2"/>
      <c r="M512" s="2"/>
      <c r="N512" s="2"/>
      <c r="O512" s="2"/>
    </row>
    <row r="513">
      <c r="J513" s="2"/>
      <c r="K513" s="2"/>
      <c r="L513" s="2"/>
      <c r="M513" s="2"/>
      <c r="N513" s="2"/>
      <c r="O513" s="2"/>
    </row>
    <row r="514">
      <c r="J514" s="2"/>
      <c r="K514" s="2"/>
      <c r="L514" s="2"/>
      <c r="M514" s="2"/>
      <c r="N514" s="2"/>
      <c r="O514" s="2"/>
    </row>
    <row r="515">
      <c r="J515" s="2"/>
      <c r="K515" s="2"/>
      <c r="L515" s="2"/>
      <c r="M515" s="2"/>
      <c r="N515" s="2"/>
      <c r="O515" s="2"/>
    </row>
    <row r="516">
      <c r="J516" s="2"/>
      <c r="K516" s="2"/>
      <c r="L516" s="2"/>
      <c r="M516" s="2"/>
      <c r="N516" s="2"/>
      <c r="O516" s="2"/>
    </row>
    <row r="517">
      <c r="J517" s="2"/>
      <c r="K517" s="2"/>
      <c r="L517" s="2"/>
      <c r="M517" s="2"/>
      <c r="N517" s="2"/>
      <c r="O517" s="2"/>
    </row>
    <row r="518">
      <c r="J518" s="2"/>
      <c r="K518" s="2"/>
      <c r="L518" s="2"/>
      <c r="M518" s="2"/>
      <c r="N518" s="2"/>
      <c r="O518" s="2"/>
    </row>
    <row r="519">
      <c r="J519" s="2"/>
      <c r="K519" s="2"/>
      <c r="L519" s="2"/>
      <c r="M519" s="2"/>
      <c r="N519" s="2"/>
      <c r="O519" s="2"/>
    </row>
    <row r="520">
      <c r="J520" s="2"/>
      <c r="K520" s="2"/>
      <c r="L520" s="2"/>
      <c r="M520" s="2"/>
      <c r="N520" s="2"/>
      <c r="O520" s="2"/>
    </row>
    <row r="521">
      <c r="J521" s="2"/>
      <c r="K521" s="2"/>
      <c r="L521" s="2"/>
      <c r="M521" s="2"/>
      <c r="N521" s="2"/>
      <c r="O521" s="2"/>
    </row>
    <row r="522">
      <c r="J522" s="2"/>
      <c r="K522" s="2"/>
      <c r="L522" s="2"/>
      <c r="M522" s="2"/>
      <c r="N522" s="2"/>
      <c r="O522" s="2"/>
    </row>
    <row r="523">
      <c r="J523" s="2"/>
      <c r="K523" s="2"/>
      <c r="L523" s="2"/>
      <c r="M523" s="2"/>
      <c r="N523" s="2"/>
      <c r="O523" s="2"/>
    </row>
    <row r="524">
      <c r="J524" s="2"/>
      <c r="K524" s="2"/>
      <c r="L524" s="2"/>
      <c r="M524" s="2"/>
      <c r="N524" s="2"/>
      <c r="O524" s="2"/>
    </row>
    <row r="525">
      <c r="J525" s="2"/>
      <c r="K525" s="2"/>
      <c r="L525" s="2"/>
      <c r="M525" s="2"/>
      <c r="N525" s="2"/>
      <c r="O525" s="2"/>
    </row>
    <row r="526">
      <c r="J526" s="2"/>
      <c r="K526" s="2"/>
      <c r="L526" s="2"/>
      <c r="M526" s="2"/>
      <c r="N526" s="2"/>
      <c r="O526" s="2"/>
    </row>
    <row r="527">
      <c r="J527" s="2"/>
      <c r="K527" s="2"/>
      <c r="L527" s="2"/>
      <c r="M527" s="2"/>
      <c r="N527" s="2"/>
      <c r="O527" s="2"/>
    </row>
    <row r="528">
      <c r="J528" s="2"/>
      <c r="K528" s="2"/>
      <c r="L528" s="2"/>
      <c r="M528" s="2"/>
      <c r="N528" s="2"/>
      <c r="O528" s="2"/>
    </row>
    <row r="529">
      <c r="J529" s="2"/>
      <c r="K529" s="2"/>
      <c r="L529" s="2"/>
      <c r="M529" s="2"/>
      <c r="N529" s="2"/>
      <c r="O529" s="2"/>
    </row>
    <row r="530">
      <c r="J530" s="2"/>
      <c r="K530" s="2"/>
      <c r="L530" s="2"/>
      <c r="M530" s="2"/>
      <c r="N530" s="2"/>
      <c r="O530" s="2"/>
    </row>
    <row r="531">
      <c r="J531" s="2"/>
      <c r="K531" s="2"/>
      <c r="L531" s="2"/>
      <c r="M531" s="2"/>
      <c r="N531" s="2"/>
      <c r="O531" s="2"/>
    </row>
    <row r="532">
      <c r="J532" s="2"/>
      <c r="K532" s="2"/>
      <c r="L532" s="2"/>
      <c r="M532" s="2"/>
      <c r="N532" s="2"/>
      <c r="O532" s="2"/>
    </row>
    <row r="533">
      <c r="J533" s="2"/>
      <c r="K533" s="2"/>
      <c r="L533" s="2"/>
      <c r="M533" s="2"/>
      <c r="N533" s="2"/>
      <c r="O533" s="2"/>
    </row>
    <row r="534">
      <c r="J534" s="2"/>
      <c r="K534" s="2"/>
      <c r="L534" s="2"/>
      <c r="M534" s="2"/>
      <c r="N534" s="2"/>
      <c r="O534" s="2"/>
    </row>
    <row r="535">
      <c r="J535" s="2"/>
      <c r="K535" s="2"/>
      <c r="L535" s="2"/>
      <c r="M535" s="2"/>
      <c r="N535" s="2"/>
      <c r="O535" s="2"/>
    </row>
    <row r="536">
      <c r="J536" s="2"/>
      <c r="K536" s="2"/>
      <c r="L536" s="2"/>
      <c r="M536" s="2"/>
      <c r="N536" s="2"/>
      <c r="O536" s="2"/>
    </row>
    <row r="537">
      <c r="J537" s="2"/>
      <c r="K537" s="2"/>
      <c r="L537" s="2"/>
      <c r="M537" s="2"/>
      <c r="N537" s="2"/>
      <c r="O537" s="2"/>
    </row>
    <row r="538">
      <c r="J538" s="2"/>
      <c r="K538" s="2"/>
      <c r="L538" s="2"/>
      <c r="M538" s="2"/>
      <c r="N538" s="2"/>
      <c r="O538" s="2"/>
    </row>
    <row r="539">
      <c r="J539" s="2"/>
      <c r="K539" s="2"/>
      <c r="L539" s="2"/>
      <c r="M539" s="2"/>
      <c r="N539" s="2"/>
      <c r="O539" s="2"/>
    </row>
    <row r="540">
      <c r="J540" s="2"/>
      <c r="K540" s="2"/>
      <c r="L540" s="2"/>
      <c r="M540" s="2"/>
      <c r="N540" s="2"/>
      <c r="O540" s="2"/>
    </row>
    <row r="541">
      <c r="J541" s="2"/>
      <c r="K541" s="2"/>
      <c r="L541" s="2"/>
      <c r="M541" s="2"/>
      <c r="N541" s="2"/>
      <c r="O541" s="2"/>
    </row>
    <row r="542">
      <c r="J542" s="2"/>
      <c r="K542" s="2"/>
      <c r="L542" s="2"/>
      <c r="M542" s="2"/>
      <c r="N542" s="2"/>
      <c r="O542" s="2"/>
    </row>
    <row r="543">
      <c r="J543" s="2"/>
      <c r="K543" s="2"/>
      <c r="L543" s="2"/>
      <c r="M543" s="2"/>
      <c r="N543" s="2"/>
      <c r="O543" s="2"/>
    </row>
    <row r="544">
      <c r="J544" s="2"/>
      <c r="K544" s="2"/>
      <c r="L544" s="2"/>
      <c r="M544" s="2"/>
      <c r="N544" s="2"/>
      <c r="O544" s="2"/>
    </row>
    <row r="545">
      <c r="J545" s="2"/>
      <c r="K545" s="2"/>
      <c r="L545" s="2"/>
      <c r="M545" s="2"/>
      <c r="N545" s="2"/>
      <c r="O545" s="2"/>
    </row>
    <row r="546">
      <c r="J546" s="2"/>
      <c r="K546" s="2"/>
      <c r="L546" s="2"/>
      <c r="M546" s="2"/>
      <c r="N546" s="2"/>
      <c r="O546" s="2"/>
    </row>
    <row r="547">
      <c r="J547" s="2"/>
      <c r="K547" s="2"/>
      <c r="L547" s="2"/>
      <c r="M547" s="2"/>
      <c r="N547" s="2"/>
      <c r="O547" s="2"/>
    </row>
    <row r="548">
      <c r="J548" s="2"/>
      <c r="K548" s="2"/>
      <c r="L548" s="2"/>
      <c r="M548" s="2"/>
      <c r="N548" s="2"/>
      <c r="O548" s="2"/>
    </row>
    <row r="549">
      <c r="J549" s="2"/>
      <c r="K549" s="2"/>
      <c r="L549" s="2"/>
      <c r="M549" s="2"/>
      <c r="N549" s="2"/>
      <c r="O549" s="2"/>
    </row>
    <row r="550">
      <c r="J550" s="2"/>
      <c r="K550" s="2"/>
      <c r="L550" s="2"/>
      <c r="M550" s="2"/>
      <c r="N550" s="2"/>
      <c r="O550" s="2"/>
    </row>
    <row r="551">
      <c r="J551" s="2"/>
      <c r="K551" s="2"/>
      <c r="L551" s="2"/>
      <c r="M551" s="2"/>
      <c r="N551" s="2"/>
      <c r="O551" s="2"/>
    </row>
    <row r="552">
      <c r="J552" s="2"/>
      <c r="K552" s="2"/>
      <c r="L552" s="2"/>
      <c r="M552" s="2"/>
      <c r="N552" s="2"/>
      <c r="O552" s="2"/>
    </row>
    <row r="553">
      <c r="J553" s="2"/>
      <c r="K553" s="2"/>
      <c r="L553" s="2"/>
      <c r="M553" s="2"/>
      <c r="N553" s="2"/>
      <c r="O553" s="2"/>
    </row>
    <row r="554">
      <c r="J554" s="2"/>
      <c r="K554" s="2"/>
      <c r="L554" s="2"/>
      <c r="M554" s="2"/>
      <c r="N554" s="2"/>
      <c r="O554" s="2"/>
    </row>
    <row r="555">
      <c r="J555" s="2"/>
      <c r="K555" s="2"/>
      <c r="L555" s="2"/>
      <c r="M555" s="2"/>
      <c r="N555" s="2"/>
      <c r="O555" s="2"/>
    </row>
    <row r="556">
      <c r="J556" s="2"/>
      <c r="K556" s="2"/>
      <c r="L556" s="2"/>
      <c r="M556" s="2"/>
      <c r="N556" s="2"/>
      <c r="O556" s="2"/>
    </row>
    <row r="557">
      <c r="J557" s="2"/>
      <c r="K557" s="2"/>
      <c r="L557" s="2"/>
      <c r="M557" s="2"/>
      <c r="N557" s="2"/>
      <c r="O557" s="2"/>
    </row>
    <row r="558">
      <c r="J558" s="2"/>
      <c r="K558" s="2"/>
      <c r="L558" s="2"/>
      <c r="M558" s="2"/>
      <c r="N558" s="2"/>
      <c r="O558" s="2"/>
    </row>
    <row r="559">
      <c r="J559" s="2"/>
      <c r="K559" s="2"/>
      <c r="L559" s="2"/>
      <c r="M559" s="2"/>
      <c r="N559" s="2"/>
      <c r="O559" s="2"/>
    </row>
    <row r="560">
      <c r="J560" s="2"/>
      <c r="K560" s="2"/>
      <c r="L560" s="2"/>
      <c r="M560" s="2"/>
      <c r="N560" s="2"/>
      <c r="O560" s="2"/>
    </row>
    <row r="561">
      <c r="J561" s="2"/>
      <c r="K561" s="2"/>
      <c r="L561" s="2"/>
      <c r="M561" s="2"/>
      <c r="N561" s="2"/>
      <c r="O561" s="2"/>
    </row>
    <row r="562">
      <c r="J562" s="2"/>
      <c r="K562" s="2"/>
      <c r="L562" s="2"/>
      <c r="M562" s="2"/>
      <c r="N562" s="2"/>
      <c r="O562" s="2"/>
    </row>
    <row r="563">
      <c r="J563" s="2"/>
      <c r="K563" s="2"/>
      <c r="L563" s="2"/>
      <c r="M563" s="2"/>
      <c r="N563" s="2"/>
      <c r="O563" s="2"/>
    </row>
    <row r="564">
      <c r="J564" s="2"/>
      <c r="K564" s="2"/>
      <c r="L564" s="2"/>
      <c r="M564" s="2"/>
      <c r="N564" s="2"/>
      <c r="O564" s="2"/>
    </row>
    <row r="565">
      <c r="J565" s="2"/>
      <c r="K565" s="2"/>
      <c r="L565" s="2"/>
      <c r="M565" s="2"/>
      <c r="N565" s="2"/>
      <c r="O565" s="2"/>
    </row>
    <row r="566">
      <c r="J566" s="2"/>
      <c r="K566" s="2"/>
      <c r="L566" s="2"/>
      <c r="M566" s="2"/>
      <c r="N566" s="2"/>
      <c r="O566" s="2"/>
    </row>
    <row r="567">
      <c r="J567" s="2"/>
      <c r="K567" s="2"/>
      <c r="L567" s="2"/>
      <c r="M567" s="2"/>
      <c r="N567" s="2"/>
      <c r="O567" s="2"/>
    </row>
    <row r="568">
      <c r="J568" s="2"/>
      <c r="K568" s="2"/>
      <c r="L568" s="2"/>
      <c r="M568" s="2"/>
      <c r="N568" s="2"/>
      <c r="O568" s="2"/>
    </row>
    <row r="569">
      <c r="J569" s="2"/>
      <c r="K569" s="2"/>
      <c r="L569" s="2"/>
      <c r="M569" s="2"/>
      <c r="N569" s="2"/>
      <c r="O569" s="2"/>
    </row>
    <row r="570">
      <c r="J570" s="2"/>
      <c r="K570" s="2"/>
      <c r="L570" s="2"/>
      <c r="M570" s="2"/>
      <c r="N570" s="2"/>
      <c r="O570" s="2"/>
    </row>
    <row r="571">
      <c r="J571" s="2"/>
      <c r="K571" s="2"/>
      <c r="L571" s="2"/>
      <c r="M571" s="2"/>
      <c r="N571" s="2"/>
      <c r="O571" s="2"/>
    </row>
    <row r="572">
      <c r="J572" s="2"/>
      <c r="K572" s="2"/>
      <c r="L572" s="2"/>
      <c r="M572" s="2"/>
      <c r="N572" s="2"/>
      <c r="O572" s="2"/>
    </row>
    <row r="573">
      <c r="J573" s="2"/>
      <c r="K573" s="2"/>
      <c r="L573" s="2"/>
      <c r="M573" s="2"/>
      <c r="N573" s="2"/>
      <c r="O573" s="2"/>
    </row>
    <row r="574">
      <c r="J574" s="2"/>
      <c r="K574" s="2"/>
      <c r="L574" s="2"/>
      <c r="M574" s="2"/>
      <c r="N574" s="2"/>
      <c r="O574" s="2"/>
    </row>
    <row r="575">
      <c r="J575" s="2"/>
      <c r="K575" s="2"/>
      <c r="L575" s="2"/>
      <c r="M575" s="2"/>
      <c r="N575" s="2"/>
      <c r="O575" s="2"/>
    </row>
    <row r="576">
      <c r="J576" s="2"/>
      <c r="K576" s="2"/>
      <c r="L576" s="2"/>
      <c r="M576" s="2"/>
      <c r="N576" s="2"/>
      <c r="O576" s="2"/>
    </row>
    <row r="577">
      <c r="J577" s="2"/>
      <c r="K577" s="2"/>
      <c r="L577" s="2"/>
      <c r="M577" s="2"/>
      <c r="N577" s="2"/>
      <c r="O577" s="2"/>
    </row>
    <row r="578">
      <c r="J578" s="2"/>
      <c r="K578" s="2"/>
      <c r="L578" s="2"/>
      <c r="M578" s="2"/>
      <c r="N578" s="2"/>
      <c r="O578" s="2"/>
    </row>
    <row r="579">
      <c r="J579" s="2"/>
      <c r="K579" s="2"/>
      <c r="L579" s="2"/>
      <c r="M579" s="2"/>
      <c r="N579" s="2"/>
      <c r="O579" s="2"/>
    </row>
    <row r="580">
      <c r="J580" s="2"/>
      <c r="K580" s="2"/>
      <c r="L580" s="2"/>
      <c r="M580" s="2"/>
      <c r="N580" s="2"/>
      <c r="O580" s="2"/>
    </row>
    <row r="581">
      <c r="J581" s="2"/>
      <c r="K581" s="2"/>
      <c r="L581" s="2"/>
      <c r="M581" s="2"/>
      <c r="N581" s="2"/>
      <c r="O581" s="2"/>
    </row>
    <row r="582">
      <c r="J582" s="2"/>
      <c r="K582" s="2"/>
      <c r="L582" s="2"/>
      <c r="M582" s="2"/>
      <c r="N582" s="2"/>
      <c r="O582" s="2"/>
    </row>
    <row r="583">
      <c r="J583" s="2"/>
      <c r="K583" s="2"/>
      <c r="L583" s="2"/>
      <c r="M583" s="2"/>
      <c r="N583" s="2"/>
      <c r="O583" s="2"/>
    </row>
    <row r="584">
      <c r="J584" s="2"/>
      <c r="K584" s="2"/>
      <c r="L584" s="2"/>
      <c r="M584" s="2"/>
      <c r="N584" s="2"/>
      <c r="O584" s="2"/>
    </row>
    <row r="585">
      <c r="J585" s="2"/>
      <c r="K585" s="2"/>
      <c r="L585" s="2"/>
      <c r="M585" s="2"/>
      <c r="N585" s="2"/>
      <c r="O585" s="2"/>
    </row>
    <row r="586">
      <c r="J586" s="2"/>
      <c r="K586" s="2"/>
      <c r="L586" s="2"/>
      <c r="M586" s="2"/>
      <c r="N586" s="2"/>
      <c r="O586" s="2"/>
    </row>
    <row r="587">
      <c r="J587" s="2"/>
      <c r="K587" s="2"/>
      <c r="L587" s="2"/>
      <c r="M587" s="2"/>
      <c r="N587" s="2"/>
      <c r="O587" s="2"/>
    </row>
    <row r="588">
      <c r="J588" s="2"/>
      <c r="K588" s="2"/>
      <c r="L588" s="2"/>
      <c r="M588" s="2"/>
      <c r="N588" s="2"/>
      <c r="O588" s="2"/>
    </row>
    <row r="589">
      <c r="J589" s="2"/>
      <c r="K589" s="2"/>
      <c r="L589" s="2"/>
      <c r="M589" s="2"/>
      <c r="N589" s="2"/>
      <c r="O589" s="2"/>
    </row>
    <row r="590">
      <c r="J590" s="2"/>
      <c r="K590" s="2"/>
      <c r="L590" s="2"/>
      <c r="M590" s="2"/>
      <c r="N590" s="2"/>
      <c r="O590" s="2"/>
    </row>
    <row r="591">
      <c r="J591" s="2"/>
      <c r="K591" s="2"/>
      <c r="L591" s="2"/>
      <c r="M591" s="2"/>
      <c r="N591" s="2"/>
      <c r="O591" s="2"/>
    </row>
    <row r="592">
      <c r="J592" s="2"/>
      <c r="K592" s="2"/>
      <c r="L592" s="2"/>
      <c r="M592" s="2"/>
      <c r="N592" s="2"/>
      <c r="O592" s="2"/>
    </row>
    <row r="593">
      <c r="J593" s="2"/>
      <c r="K593" s="2"/>
      <c r="L593" s="2"/>
      <c r="M593" s="2"/>
      <c r="N593" s="2"/>
      <c r="O593" s="2"/>
    </row>
    <row r="594">
      <c r="J594" s="2"/>
      <c r="K594" s="2"/>
      <c r="L594" s="2"/>
      <c r="M594" s="2"/>
      <c r="N594" s="2"/>
      <c r="O594" s="2"/>
    </row>
    <row r="595">
      <c r="J595" s="2"/>
      <c r="K595" s="2"/>
      <c r="L595" s="2"/>
      <c r="M595" s="2"/>
      <c r="N595" s="2"/>
      <c r="O595" s="2"/>
    </row>
    <row r="596">
      <c r="J596" s="2"/>
      <c r="K596" s="2"/>
      <c r="L596" s="2"/>
      <c r="M596" s="2"/>
      <c r="N596" s="2"/>
      <c r="O596" s="2"/>
    </row>
    <row r="597">
      <c r="J597" s="2"/>
      <c r="K597" s="2"/>
      <c r="L597" s="2"/>
      <c r="M597" s="2"/>
      <c r="N597" s="2"/>
      <c r="O597" s="2"/>
    </row>
    <row r="598">
      <c r="J598" s="2"/>
      <c r="K598" s="2"/>
      <c r="L598" s="2"/>
      <c r="M598" s="2"/>
      <c r="N598" s="2"/>
      <c r="O598" s="2"/>
    </row>
    <row r="599">
      <c r="J599" s="2"/>
      <c r="K599" s="2"/>
      <c r="L599" s="2"/>
      <c r="M599" s="2"/>
      <c r="N599" s="2"/>
      <c r="O599" s="2"/>
    </row>
    <row r="600">
      <c r="J600" s="2"/>
      <c r="K600" s="2"/>
      <c r="L600" s="2"/>
      <c r="M600" s="2"/>
      <c r="N600" s="2"/>
      <c r="O600" s="2"/>
    </row>
    <row r="601">
      <c r="J601" s="2"/>
      <c r="K601" s="2"/>
      <c r="L601" s="2"/>
      <c r="M601" s="2"/>
      <c r="N601" s="2"/>
      <c r="O601" s="2"/>
    </row>
    <row r="602">
      <c r="J602" s="2"/>
      <c r="K602" s="2"/>
      <c r="L602" s="2"/>
      <c r="M602" s="2"/>
      <c r="N602" s="2"/>
      <c r="O602" s="2"/>
    </row>
    <row r="603">
      <c r="J603" s="2"/>
      <c r="K603" s="2"/>
      <c r="L603" s="2"/>
      <c r="M603" s="2"/>
      <c r="N603" s="2"/>
      <c r="O603" s="2"/>
    </row>
    <row r="604">
      <c r="J604" s="2"/>
      <c r="K604" s="2"/>
      <c r="L604" s="2"/>
      <c r="M604" s="2"/>
      <c r="N604" s="2"/>
      <c r="O604" s="2"/>
    </row>
    <row r="605">
      <c r="J605" s="2"/>
      <c r="K605" s="2"/>
      <c r="L605" s="2"/>
      <c r="M605" s="2"/>
      <c r="N605" s="2"/>
      <c r="O605" s="2"/>
    </row>
    <row r="606">
      <c r="J606" s="2"/>
      <c r="K606" s="2"/>
      <c r="L606" s="2"/>
      <c r="M606" s="2"/>
      <c r="N606" s="2"/>
      <c r="O606" s="2"/>
    </row>
    <row r="607">
      <c r="J607" s="2"/>
      <c r="K607" s="2"/>
      <c r="L607" s="2"/>
      <c r="M607" s="2"/>
      <c r="N607" s="2"/>
      <c r="O607" s="2"/>
    </row>
    <row r="608">
      <c r="J608" s="2"/>
      <c r="K608" s="2"/>
      <c r="L608" s="2"/>
      <c r="M608" s="2"/>
      <c r="N608" s="2"/>
      <c r="O608" s="2"/>
    </row>
    <row r="609">
      <c r="J609" s="2"/>
      <c r="K609" s="2"/>
      <c r="L609" s="2"/>
      <c r="M609" s="2"/>
      <c r="N609" s="2"/>
      <c r="O609" s="2"/>
    </row>
    <row r="610">
      <c r="J610" s="2"/>
      <c r="K610" s="2"/>
      <c r="L610" s="2"/>
      <c r="M610" s="2"/>
      <c r="N610" s="2"/>
      <c r="O610" s="2"/>
    </row>
    <row r="611">
      <c r="J611" s="2"/>
      <c r="K611" s="2"/>
      <c r="L611" s="2"/>
      <c r="M611" s="2"/>
      <c r="N611" s="2"/>
      <c r="O611" s="2"/>
    </row>
    <row r="612">
      <c r="J612" s="2"/>
      <c r="K612" s="2"/>
      <c r="L612" s="2"/>
      <c r="M612" s="2"/>
      <c r="N612" s="2"/>
      <c r="O612" s="2"/>
    </row>
    <row r="613">
      <c r="J613" s="2"/>
      <c r="K613" s="2"/>
      <c r="L613" s="2"/>
      <c r="M613" s="2"/>
      <c r="N613" s="2"/>
      <c r="O613" s="2"/>
    </row>
    <row r="614">
      <c r="J614" s="2"/>
      <c r="K614" s="2"/>
      <c r="L614" s="2"/>
      <c r="M614" s="2"/>
      <c r="N614" s="2"/>
      <c r="O614" s="2"/>
    </row>
    <row r="615">
      <c r="J615" s="2"/>
      <c r="K615" s="2"/>
      <c r="L615" s="2"/>
      <c r="M615" s="2"/>
      <c r="N615" s="2"/>
      <c r="O615" s="2"/>
    </row>
    <row r="616">
      <c r="J616" s="2"/>
      <c r="K616" s="2"/>
      <c r="L616" s="2"/>
      <c r="M616" s="2"/>
      <c r="N616" s="2"/>
      <c r="O616" s="2"/>
    </row>
    <row r="617">
      <c r="J617" s="2"/>
      <c r="K617" s="2"/>
      <c r="L617" s="2"/>
      <c r="M617" s="2"/>
      <c r="N617" s="2"/>
      <c r="O617" s="2"/>
    </row>
    <row r="618">
      <c r="J618" s="2"/>
      <c r="K618" s="2"/>
      <c r="L618" s="2"/>
      <c r="M618" s="2"/>
      <c r="N618" s="2"/>
      <c r="O618" s="2"/>
    </row>
    <row r="619">
      <c r="J619" s="2"/>
      <c r="K619" s="2"/>
      <c r="L619" s="2"/>
      <c r="M619" s="2"/>
      <c r="N619" s="2"/>
      <c r="O619" s="2"/>
    </row>
    <row r="620">
      <c r="J620" s="2"/>
      <c r="K620" s="2"/>
      <c r="L620" s="2"/>
      <c r="M620" s="2"/>
      <c r="N620" s="2"/>
      <c r="O620" s="2"/>
    </row>
    <row r="621">
      <c r="J621" s="2"/>
      <c r="K621" s="2"/>
      <c r="L621" s="2"/>
      <c r="M621" s="2"/>
      <c r="N621" s="2"/>
      <c r="O621" s="2"/>
    </row>
    <row r="622">
      <c r="J622" s="2"/>
      <c r="K622" s="2"/>
      <c r="L622" s="2"/>
      <c r="M622" s="2"/>
      <c r="N622" s="2"/>
      <c r="O622" s="2"/>
    </row>
    <row r="623">
      <c r="J623" s="2"/>
      <c r="K623" s="2"/>
      <c r="L623" s="2"/>
      <c r="M623" s="2"/>
      <c r="N623" s="2"/>
      <c r="O623" s="2"/>
    </row>
    <row r="624">
      <c r="J624" s="2"/>
      <c r="K624" s="2"/>
      <c r="L624" s="2"/>
      <c r="M624" s="2"/>
      <c r="N624" s="2"/>
      <c r="O624" s="2"/>
    </row>
    <row r="625">
      <c r="J625" s="2"/>
      <c r="K625" s="2"/>
      <c r="L625" s="2"/>
      <c r="M625" s="2"/>
      <c r="N625" s="2"/>
      <c r="O625" s="2"/>
    </row>
    <row r="626">
      <c r="J626" s="2"/>
      <c r="K626" s="2"/>
      <c r="L626" s="2"/>
      <c r="M626" s="2"/>
      <c r="N626" s="2"/>
      <c r="O626" s="2"/>
    </row>
    <row r="627">
      <c r="J627" s="2"/>
      <c r="K627" s="2"/>
      <c r="L627" s="2"/>
      <c r="M627" s="2"/>
      <c r="N627" s="2"/>
      <c r="O627" s="2"/>
    </row>
    <row r="628">
      <c r="J628" s="2"/>
      <c r="K628" s="2"/>
      <c r="L628" s="2"/>
      <c r="M628" s="2"/>
      <c r="N628" s="2"/>
      <c r="O628" s="2"/>
    </row>
    <row r="629">
      <c r="J629" s="2"/>
      <c r="K629" s="2"/>
      <c r="L629" s="2"/>
      <c r="M629" s="2"/>
      <c r="N629" s="2"/>
      <c r="O629" s="2"/>
    </row>
    <row r="630">
      <c r="J630" s="2"/>
      <c r="K630" s="2"/>
      <c r="L630" s="2"/>
      <c r="M630" s="2"/>
      <c r="N630" s="2"/>
      <c r="O630" s="2"/>
    </row>
    <row r="631">
      <c r="J631" s="2"/>
      <c r="K631" s="2"/>
      <c r="L631" s="2"/>
      <c r="M631" s="2"/>
      <c r="N631" s="2"/>
      <c r="O631" s="2"/>
    </row>
    <row r="632">
      <c r="J632" s="2"/>
      <c r="K632" s="2"/>
      <c r="L632" s="2"/>
      <c r="M632" s="2"/>
      <c r="N632" s="2"/>
      <c r="O632" s="2"/>
    </row>
    <row r="633">
      <c r="J633" s="2"/>
      <c r="K633" s="2"/>
      <c r="L633" s="2"/>
      <c r="M633" s="2"/>
      <c r="N633" s="2"/>
      <c r="O633" s="2"/>
    </row>
    <row r="634">
      <c r="J634" s="2"/>
      <c r="K634" s="2"/>
      <c r="L634" s="2"/>
      <c r="M634" s="2"/>
      <c r="N634" s="2"/>
      <c r="O634" s="2"/>
    </row>
    <row r="635">
      <c r="J635" s="2"/>
      <c r="K635" s="2"/>
      <c r="L635" s="2"/>
      <c r="M635" s="2"/>
      <c r="N635" s="2"/>
      <c r="O635" s="2"/>
    </row>
    <row r="636">
      <c r="J636" s="2"/>
      <c r="K636" s="2"/>
      <c r="L636" s="2"/>
      <c r="M636" s="2"/>
      <c r="N636" s="2"/>
      <c r="O636" s="2"/>
    </row>
    <row r="637">
      <c r="J637" s="2"/>
      <c r="K637" s="2"/>
      <c r="L637" s="2"/>
      <c r="M637" s="2"/>
      <c r="N637" s="2"/>
      <c r="O637" s="2"/>
    </row>
    <row r="638">
      <c r="J638" s="2"/>
      <c r="K638" s="2"/>
      <c r="L638" s="2"/>
      <c r="M638" s="2"/>
      <c r="N638" s="2"/>
      <c r="O638" s="2"/>
    </row>
    <row r="639">
      <c r="J639" s="2"/>
      <c r="K639" s="2"/>
      <c r="L639" s="2"/>
      <c r="M639" s="2"/>
      <c r="N639" s="2"/>
      <c r="O639" s="2"/>
    </row>
    <row r="640">
      <c r="J640" s="2"/>
      <c r="K640" s="2"/>
      <c r="L640" s="2"/>
      <c r="M640" s="2"/>
      <c r="N640" s="2"/>
      <c r="O640" s="2"/>
    </row>
    <row r="641">
      <c r="J641" s="2"/>
      <c r="K641" s="2"/>
      <c r="L641" s="2"/>
      <c r="M641" s="2"/>
      <c r="N641" s="2"/>
      <c r="O641" s="2"/>
    </row>
    <row r="642">
      <c r="J642" s="2"/>
      <c r="K642" s="2"/>
      <c r="L642" s="2"/>
      <c r="M642" s="2"/>
      <c r="N642" s="2"/>
      <c r="O642" s="2"/>
    </row>
    <row r="643">
      <c r="J643" s="2"/>
      <c r="K643" s="2"/>
      <c r="L643" s="2"/>
      <c r="M643" s="2"/>
      <c r="N643" s="2"/>
      <c r="O643" s="2"/>
    </row>
    <row r="644">
      <c r="J644" s="2"/>
      <c r="K644" s="2"/>
      <c r="L644" s="2"/>
      <c r="M644" s="2"/>
      <c r="N644" s="2"/>
      <c r="O644" s="2"/>
    </row>
    <row r="645">
      <c r="J645" s="2"/>
      <c r="K645" s="2"/>
      <c r="L645" s="2"/>
      <c r="M645" s="2"/>
      <c r="N645" s="2"/>
      <c r="O645" s="2"/>
    </row>
    <row r="646">
      <c r="J646" s="2"/>
      <c r="K646" s="2"/>
      <c r="L646" s="2"/>
      <c r="M646" s="2"/>
      <c r="N646" s="2"/>
      <c r="O646" s="2"/>
    </row>
    <row r="647">
      <c r="J647" s="2"/>
      <c r="K647" s="2"/>
      <c r="L647" s="2"/>
      <c r="M647" s="2"/>
      <c r="N647" s="2"/>
      <c r="O647" s="2"/>
    </row>
    <row r="648">
      <c r="J648" s="2"/>
      <c r="K648" s="2"/>
      <c r="L648" s="2"/>
      <c r="M648" s="2"/>
      <c r="N648" s="2"/>
      <c r="O648" s="2"/>
    </row>
    <row r="649">
      <c r="J649" s="2"/>
      <c r="K649" s="2"/>
      <c r="L649" s="2"/>
      <c r="M649" s="2"/>
      <c r="N649" s="2"/>
      <c r="O649" s="2"/>
    </row>
    <row r="650">
      <c r="J650" s="2"/>
      <c r="K650" s="2"/>
      <c r="L650" s="2"/>
      <c r="M650" s="2"/>
      <c r="N650" s="2"/>
      <c r="O650" s="2"/>
    </row>
    <row r="651">
      <c r="J651" s="2"/>
      <c r="K651" s="2"/>
      <c r="L651" s="2"/>
      <c r="M651" s="2"/>
      <c r="N651" s="2"/>
      <c r="O651" s="2"/>
    </row>
    <row r="652">
      <c r="J652" s="2"/>
      <c r="K652" s="2"/>
      <c r="L652" s="2"/>
      <c r="M652" s="2"/>
      <c r="N652" s="2"/>
      <c r="O652" s="2"/>
    </row>
    <row r="653">
      <c r="J653" s="2"/>
      <c r="K653" s="2"/>
      <c r="L653" s="2"/>
      <c r="M653" s="2"/>
      <c r="N653" s="2"/>
      <c r="O653" s="2"/>
    </row>
    <row r="654">
      <c r="J654" s="2"/>
      <c r="K654" s="2"/>
      <c r="L654" s="2"/>
      <c r="M654" s="2"/>
      <c r="N654" s="2"/>
      <c r="O654" s="2"/>
    </row>
    <row r="655">
      <c r="J655" s="2"/>
      <c r="K655" s="2"/>
      <c r="L655" s="2"/>
      <c r="M655" s="2"/>
      <c r="N655" s="2"/>
      <c r="O655" s="2"/>
    </row>
    <row r="656">
      <c r="J656" s="2"/>
      <c r="K656" s="2"/>
      <c r="L656" s="2"/>
      <c r="M656" s="2"/>
      <c r="N656" s="2"/>
      <c r="O656" s="2"/>
    </row>
    <row r="657">
      <c r="J657" s="2"/>
      <c r="K657" s="2"/>
      <c r="L657" s="2"/>
      <c r="M657" s="2"/>
      <c r="N657" s="2"/>
      <c r="O657" s="2"/>
    </row>
    <row r="658">
      <c r="J658" s="2"/>
      <c r="K658" s="2"/>
      <c r="L658" s="2"/>
      <c r="M658" s="2"/>
      <c r="N658" s="2"/>
      <c r="O658" s="2"/>
    </row>
    <row r="659">
      <c r="J659" s="2"/>
      <c r="K659" s="2"/>
      <c r="L659" s="2"/>
      <c r="M659" s="2"/>
      <c r="N659" s="2"/>
      <c r="O659" s="2"/>
    </row>
    <row r="660">
      <c r="J660" s="2"/>
      <c r="K660" s="2"/>
      <c r="L660" s="2"/>
      <c r="M660" s="2"/>
      <c r="N660" s="2"/>
      <c r="O660" s="2"/>
    </row>
    <row r="661">
      <c r="J661" s="2"/>
      <c r="K661" s="2"/>
      <c r="L661" s="2"/>
      <c r="M661" s="2"/>
      <c r="N661" s="2"/>
      <c r="O661" s="2"/>
    </row>
    <row r="662">
      <c r="J662" s="2"/>
      <c r="K662" s="2"/>
      <c r="L662" s="2"/>
      <c r="M662" s="2"/>
      <c r="N662" s="2"/>
      <c r="O662" s="2"/>
    </row>
    <row r="663">
      <c r="J663" s="2"/>
      <c r="K663" s="2"/>
      <c r="L663" s="2"/>
      <c r="M663" s="2"/>
      <c r="N663" s="2"/>
      <c r="O663" s="2"/>
    </row>
    <row r="664">
      <c r="J664" s="2"/>
      <c r="K664" s="2"/>
      <c r="L664" s="2"/>
      <c r="M664" s="2"/>
      <c r="N664" s="2"/>
      <c r="O664" s="2"/>
    </row>
    <row r="665">
      <c r="J665" s="2"/>
      <c r="K665" s="2"/>
      <c r="L665" s="2"/>
      <c r="M665" s="2"/>
      <c r="N665" s="2"/>
      <c r="O665" s="2"/>
    </row>
    <row r="666">
      <c r="J666" s="2"/>
      <c r="K666" s="2"/>
      <c r="L666" s="2"/>
      <c r="M666" s="2"/>
      <c r="N666" s="2"/>
      <c r="O666" s="2"/>
    </row>
    <row r="667">
      <c r="J667" s="2"/>
      <c r="K667" s="2"/>
      <c r="L667" s="2"/>
      <c r="M667" s="2"/>
      <c r="N667" s="2"/>
      <c r="O667" s="2"/>
    </row>
    <row r="668">
      <c r="J668" s="2"/>
      <c r="K668" s="2"/>
      <c r="L668" s="2"/>
      <c r="M668" s="2"/>
      <c r="N668" s="2"/>
      <c r="O668" s="2"/>
    </row>
    <row r="669">
      <c r="J669" s="2"/>
      <c r="K669" s="2"/>
      <c r="L669" s="2"/>
      <c r="M669" s="2"/>
      <c r="N669" s="2"/>
      <c r="O669" s="2"/>
    </row>
    <row r="670">
      <c r="J670" s="2"/>
      <c r="K670" s="2"/>
      <c r="L670" s="2"/>
      <c r="M670" s="2"/>
      <c r="N670" s="2"/>
      <c r="O670" s="2"/>
    </row>
    <row r="671">
      <c r="J671" s="2"/>
      <c r="K671" s="2"/>
      <c r="L671" s="2"/>
      <c r="M671" s="2"/>
      <c r="N671" s="2"/>
      <c r="O671" s="2"/>
    </row>
    <row r="672">
      <c r="J672" s="2"/>
      <c r="K672" s="2"/>
      <c r="L672" s="2"/>
      <c r="M672" s="2"/>
      <c r="N672" s="2"/>
      <c r="O672" s="2"/>
    </row>
    <row r="673">
      <c r="J673" s="2"/>
      <c r="K673" s="2"/>
      <c r="L673" s="2"/>
      <c r="M673" s="2"/>
      <c r="N673" s="2"/>
      <c r="O673" s="2"/>
    </row>
    <row r="674">
      <c r="J674" s="2"/>
      <c r="K674" s="2"/>
      <c r="L674" s="2"/>
      <c r="M674" s="2"/>
      <c r="N674" s="2"/>
      <c r="O674" s="2"/>
    </row>
    <row r="675">
      <c r="J675" s="2"/>
      <c r="K675" s="2"/>
      <c r="L675" s="2"/>
      <c r="M675" s="2"/>
      <c r="N675" s="2"/>
      <c r="O675" s="2"/>
    </row>
    <row r="676">
      <c r="J676" s="2"/>
      <c r="K676" s="2"/>
      <c r="L676" s="2"/>
      <c r="M676" s="2"/>
      <c r="N676" s="2"/>
      <c r="O676" s="2"/>
    </row>
    <row r="677">
      <c r="J677" s="2"/>
      <c r="K677" s="2"/>
      <c r="L677" s="2"/>
      <c r="M677" s="2"/>
      <c r="N677" s="2"/>
      <c r="O677" s="2"/>
    </row>
    <row r="678">
      <c r="J678" s="2"/>
      <c r="K678" s="2"/>
      <c r="L678" s="2"/>
      <c r="M678" s="2"/>
      <c r="N678" s="2"/>
      <c r="O678" s="2"/>
    </row>
    <row r="679">
      <c r="J679" s="2"/>
      <c r="K679" s="2"/>
      <c r="L679" s="2"/>
      <c r="M679" s="2"/>
      <c r="N679" s="2"/>
      <c r="O679" s="2"/>
    </row>
    <row r="680">
      <c r="J680" s="2"/>
      <c r="K680" s="2"/>
      <c r="L680" s="2"/>
      <c r="M680" s="2"/>
      <c r="N680" s="2"/>
      <c r="O680" s="2"/>
    </row>
    <row r="681">
      <c r="J681" s="2"/>
      <c r="K681" s="2"/>
      <c r="L681" s="2"/>
      <c r="M681" s="2"/>
      <c r="N681" s="2"/>
      <c r="O681" s="2"/>
    </row>
    <row r="682">
      <c r="J682" s="2"/>
      <c r="K682" s="2"/>
      <c r="L682" s="2"/>
      <c r="M682" s="2"/>
      <c r="N682" s="2"/>
      <c r="O682" s="2"/>
    </row>
    <row r="683">
      <c r="J683" s="2"/>
      <c r="K683" s="2"/>
      <c r="L683" s="2"/>
      <c r="M683" s="2"/>
      <c r="N683" s="2"/>
      <c r="O683" s="2"/>
    </row>
    <row r="684">
      <c r="J684" s="2"/>
      <c r="K684" s="2"/>
      <c r="L684" s="2"/>
      <c r="M684" s="2"/>
      <c r="N684" s="2"/>
      <c r="O684" s="2"/>
    </row>
    <row r="685">
      <c r="J685" s="2"/>
      <c r="K685" s="2"/>
      <c r="L685" s="2"/>
      <c r="M685" s="2"/>
      <c r="N685" s="2"/>
      <c r="O685" s="2"/>
    </row>
    <row r="686">
      <c r="J686" s="2"/>
      <c r="K686" s="2"/>
      <c r="L686" s="2"/>
      <c r="M686" s="2"/>
      <c r="N686" s="2"/>
      <c r="O686" s="2"/>
    </row>
    <row r="687">
      <c r="J687" s="2"/>
      <c r="K687" s="2"/>
      <c r="L687" s="2"/>
      <c r="M687" s="2"/>
      <c r="N687" s="2"/>
      <c r="O687" s="2"/>
    </row>
    <row r="688">
      <c r="J688" s="2"/>
      <c r="K688" s="2"/>
      <c r="L688" s="2"/>
      <c r="M688" s="2"/>
      <c r="N688" s="2"/>
      <c r="O688" s="2"/>
    </row>
    <row r="689">
      <c r="J689" s="2"/>
      <c r="K689" s="2"/>
      <c r="L689" s="2"/>
      <c r="M689" s="2"/>
      <c r="N689" s="2"/>
      <c r="O689" s="2"/>
    </row>
    <row r="690">
      <c r="J690" s="2"/>
      <c r="K690" s="2"/>
      <c r="L690" s="2"/>
      <c r="M690" s="2"/>
      <c r="N690" s="2"/>
      <c r="O690" s="2"/>
    </row>
    <row r="691">
      <c r="J691" s="2"/>
      <c r="K691" s="2"/>
      <c r="L691" s="2"/>
      <c r="M691" s="2"/>
      <c r="N691" s="2"/>
      <c r="O691" s="2"/>
    </row>
    <row r="692">
      <c r="J692" s="2"/>
      <c r="K692" s="2"/>
      <c r="L692" s="2"/>
      <c r="M692" s="2"/>
      <c r="N692" s="2"/>
      <c r="O692" s="2"/>
    </row>
    <row r="693">
      <c r="J693" s="2"/>
      <c r="K693" s="2"/>
      <c r="L693" s="2"/>
      <c r="M693" s="2"/>
      <c r="N693" s="2"/>
      <c r="O693" s="2"/>
    </row>
    <row r="694">
      <c r="J694" s="2"/>
      <c r="K694" s="2"/>
      <c r="L694" s="2"/>
      <c r="M694" s="2"/>
      <c r="N694" s="2"/>
      <c r="O694" s="2"/>
    </row>
    <row r="695">
      <c r="J695" s="2"/>
      <c r="K695" s="2"/>
      <c r="L695" s="2"/>
      <c r="M695" s="2"/>
      <c r="N695" s="2"/>
      <c r="O695" s="2"/>
    </row>
    <row r="696">
      <c r="J696" s="2"/>
      <c r="K696" s="2"/>
      <c r="L696" s="2"/>
      <c r="M696" s="2"/>
      <c r="N696" s="2"/>
      <c r="O696" s="2"/>
    </row>
    <row r="697">
      <c r="J697" s="2"/>
      <c r="K697" s="2"/>
      <c r="L697" s="2"/>
      <c r="M697" s="2"/>
      <c r="N697" s="2"/>
      <c r="O697" s="2"/>
    </row>
    <row r="698">
      <c r="J698" s="2"/>
      <c r="K698" s="2"/>
      <c r="L698" s="2"/>
      <c r="M698" s="2"/>
      <c r="N698" s="2"/>
      <c r="O698" s="2"/>
    </row>
    <row r="699">
      <c r="J699" s="2"/>
      <c r="K699" s="2"/>
      <c r="L699" s="2"/>
      <c r="M699" s="2"/>
      <c r="N699" s="2"/>
      <c r="O699" s="2"/>
    </row>
    <row r="700">
      <c r="J700" s="2"/>
      <c r="K700" s="2"/>
      <c r="L700" s="2"/>
      <c r="M700" s="2"/>
      <c r="N700" s="2"/>
      <c r="O700" s="2"/>
    </row>
    <row r="701">
      <c r="J701" s="2"/>
      <c r="K701" s="2"/>
      <c r="L701" s="2"/>
      <c r="M701" s="2"/>
      <c r="N701" s="2"/>
      <c r="O701" s="2"/>
    </row>
    <row r="702">
      <c r="J702" s="2"/>
      <c r="K702" s="2"/>
      <c r="L702" s="2"/>
      <c r="M702" s="2"/>
      <c r="N702" s="2"/>
      <c r="O702" s="2"/>
    </row>
    <row r="703">
      <c r="J703" s="2"/>
      <c r="K703" s="2"/>
      <c r="L703" s="2"/>
      <c r="M703" s="2"/>
      <c r="N703" s="2"/>
      <c r="O703" s="2"/>
    </row>
    <row r="704">
      <c r="J704" s="2"/>
      <c r="K704" s="2"/>
      <c r="L704" s="2"/>
      <c r="M704" s="2"/>
      <c r="N704" s="2"/>
      <c r="O704" s="2"/>
    </row>
    <row r="705">
      <c r="J705" s="2"/>
      <c r="K705" s="2"/>
      <c r="L705" s="2"/>
      <c r="M705" s="2"/>
      <c r="N705" s="2"/>
      <c r="O705" s="2"/>
    </row>
    <row r="706">
      <c r="J706" s="2"/>
      <c r="K706" s="2"/>
      <c r="L706" s="2"/>
      <c r="M706" s="2"/>
      <c r="N706" s="2"/>
      <c r="O706" s="2"/>
    </row>
    <row r="707">
      <c r="J707" s="2"/>
      <c r="K707" s="2"/>
      <c r="L707" s="2"/>
      <c r="M707" s="2"/>
      <c r="N707" s="2"/>
      <c r="O707" s="2"/>
    </row>
    <row r="708">
      <c r="J708" s="2"/>
      <c r="K708" s="2"/>
      <c r="L708" s="2"/>
      <c r="M708" s="2"/>
      <c r="N708" s="2"/>
      <c r="O708" s="2"/>
    </row>
    <row r="709">
      <c r="J709" s="2"/>
      <c r="K709" s="2"/>
      <c r="L709" s="2"/>
      <c r="M709" s="2"/>
      <c r="N709" s="2"/>
      <c r="O709" s="2"/>
    </row>
    <row r="710">
      <c r="J710" s="2"/>
      <c r="K710" s="2"/>
      <c r="L710" s="2"/>
      <c r="M710" s="2"/>
      <c r="N710" s="2"/>
      <c r="O710" s="2"/>
    </row>
    <row r="711">
      <c r="J711" s="2"/>
      <c r="K711" s="2"/>
      <c r="L711" s="2"/>
      <c r="M711" s="2"/>
      <c r="N711" s="2"/>
      <c r="O711" s="2"/>
    </row>
    <row r="712">
      <c r="J712" s="2"/>
      <c r="K712" s="2"/>
      <c r="L712" s="2"/>
      <c r="M712" s="2"/>
      <c r="N712" s="2"/>
      <c r="O712" s="2"/>
    </row>
    <row r="713">
      <c r="J713" s="2"/>
      <c r="K713" s="2"/>
      <c r="L713" s="2"/>
      <c r="M713" s="2"/>
      <c r="N713" s="2"/>
      <c r="O713" s="2"/>
    </row>
    <row r="714">
      <c r="J714" s="2"/>
      <c r="K714" s="2"/>
      <c r="L714" s="2"/>
      <c r="M714" s="2"/>
      <c r="N714" s="2"/>
      <c r="O714" s="2"/>
    </row>
    <row r="715">
      <c r="J715" s="2"/>
      <c r="K715" s="2"/>
      <c r="L715" s="2"/>
      <c r="M715" s="2"/>
      <c r="N715" s="2"/>
      <c r="O715" s="2"/>
    </row>
    <row r="716">
      <c r="J716" s="2"/>
      <c r="K716" s="2"/>
      <c r="L716" s="2"/>
      <c r="M716" s="2"/>
      <c r="N716" s="2"/>
      <c r="O716" s="2"/>
    </row>
    <row r="717">
      <c r="J717" s="2"/>
      <c r="K717" s="2"/>
      <c r="L717" s="2"/>
      <c r="M717" s="2"/>
      <c r="N717" s="2"/>
      <c r="O717" s="2"/>
    </row>
    <row r="718">
      <c r="J718" s="2"/>
      <c r="K718" s="2"/>
      <c r="L718" s="2"/>
      <c r="M718" s="2"/>
      <c r="N718" s="2"/>
      <c r="O718" s="2"/>
    </row>
    <row r="719">
      <c r="J719" s="2"/>
      <c r="K719" s="2"/>
      <c r="L719" s="2"/>
      <c r="M719" s="2"/>
      <c r="N719" s="2"/>
      <c r="O719" s="2"/>
    </row>
    <row r="720">
      <c r="J720" s="2"/>
      <c r="K720" s="2"/>
      <c r="L720" s="2"/>
      <c r="M720" s="2"/>
      <c r="N720" s="2"/>
      <c r="O720" s="2"/>
    </row>
    <row r="721">
      <c r="J721" s="2"/>
      <c r="K721" s="2"/>
      <c r="L721" s="2"/>
      <c r="M721" s="2"/>
      <c r="N721" s="2"/>
      <c r="O721" s="2"/>
    </row>
    <row r="722">
      <c r="J722" s="2"/>
      <c r="K722" s="2"/>
      <c r="L722" s="2"/>
      <c r="M722" s="2"/>
      <c r="N722" s="2"/>
      <c r="O722" s="2"/>
    </row>
    <row r="723">
      <c r="J723" s="2"/>
      <c r="K723" s="2"/>
      <c r="L723" s="2"/>
      <c r="M723" s="2"/>
      <c r="N723" s="2"/>
      <c r="O723" s="2"/>
    </row>
    <row r="724">
      <c r="J724" s="2"/>
      <c r="K724" s="2"/>
      <c r="L724" s="2"/>
      <c r="M724" s="2"/>
      <c r="N724" s="2"/>
      <c r="O724" s="2"/>
    </row>
    <row r="725">
      <c r="J725" s="2"/>
      <c r="K725" s="2"/>
      <c r="L725" s="2"/>
      <c r="M725" s="2"/>
      <c r="N725" s="2"/>
      <c r="O725" s="2"/>
    </row>
    <row r="726">
      <c r="J726" s="2"/>
      <c r="K726" s="2"/>
      <c r="L726" s="2"/>
      <c r="M726" s="2"/>
      <c r="N726" s="2"/>
      <c r="O726" s="2"/>
    </row>
    <row r="727">
      <c r="J727" s="2"/>
      <c r="K727" s="2"/>
      <c r="L727" s="2"/>
      <c r="M727" s="2"/>
      <c r="N727" s="2"/>
      <c r="O727" s="2"/>
    </row>
    <row r="728">
      <c r="J728" s="2"/>
      <c r="K728" s="2"/>
      <c r="L728" s="2"/>
      <c r="M728" s="2"/>
      <c r="N728" s="2"/>
      <c r="O728" s="2"/>
    </row>
    <row r="729">
      <c r="J729" s="2"/>
      <c r="K729" s="2"/>
      <c r="L729" s="2"/>
      <c r="M729" s="2"/>
      <c r="N729" s="2"/>
      <c r="O729" s="2"/>
    </row>
    <row r="730">
      <c r="J730" s="2"/>
      <c r="K730" s="2"/>
      <c r="L730" s="2"/>
      <c r="M730" s="2"/>
      <c r="N730" s="2"/>
      <c r="O730" s="2"/>
    </row>
    <row r="731">
      <c r="J731" s="2"/>
      <c r="K731" s="2"/>
      <c r="L731" s="2"/>
      <c r="M731" s="2"/>
      <c r="N731" s="2"/>
      <c r="O731" s="2"/>
    </row>
    <row r="732">
      <c r="J732" s="2"/>
      <c r="K732" s="2"/>
      <c r="L732" s="2"/>
      <c r="M732" s="2"/>
      <c r="N732" s="2"/>
      <c r="O732" s="2"/>
    </row>
    <row r="733">
      <c r="J733" s="2"/>
      <c r="K733" s="2"/>
      <c r="L733" s="2"/>
      <c r="M733" s="2"/>
      <c r="N733" s="2"/>
      <c r="O733" s="2"/>
    </row>
    <row r="734">
      <c r="J734" s="2"/>
      <c r="K734" s="2"/>
      <c r="L734" s="2"/>
      <c r="M734" s="2"/>
      <c r="N734" s="2"/>
      <c r="O734" s="2"/>
    </row>
    <row r="735">
      <c r="J735" s="2"/>
      <c r="K735" s="2"/>
      <c r="L735" s="2"/>
      <c r="M735" s="2"/>
      <c r="N735" s="2"/>
      <c r="O735" s="2"/>
    </row>
    <row r="736">
      <c r="J736" s="2"/>
      <c r="K736" s="2"/>
      <c r="L736" s="2"/>
      <c r="M736" s="2"/>
      <c r="N736" s="2"/>
      <c r="O736" s="2"/>
    </row>
    <row r="737">
      <c r="J737" s="2"/>
      <c r="K737" s="2"/>
      <c r="L737" s="2"/>
      <c r="M737" s="2"/>
      <c r="N737" s="2"/>
      <c r="O737" s="2"/>
    </row>
    <row r="738">
      <c r="J738" s="2"/>
      <c r="K738" s="2"/>
      <c r="L738" s="2"/>
      <c r="M738" s="2"/>
      <c r="N738" s="2"/>
      <c r="O738" s="2"/>
    </row>
    <row r="739">
      <c r="J739" s="2"/>
      <c r="K739" s="2"/>
      <c r="L739" s="2"/>
      <c r="M739" s="2"/>
      <c r="N739" s="2"/>
      <c r="O739" s="2"/>
    </row>
    <row r="740">
      <c r="J740" s="2"/>
      <c r="K740" s="2"/>
      <c r="L740" s="2"/>
      <c r="M740" s="2"/>
      <c r="N740" s="2"/>
      <c r="O740" s="2"/>
    </row>
    <row r="741">
      <c r="J741" s="2"/>
      <c r="K741" s="2"/>
      <c r="L741" s="2"/>
      <c r="M741" s="2"/>
      <c r="N741" s="2"/>
      <c r="O741" s="2"/>
    </row>
    <row r="742">
      <c r="J742" s="2"/>
      <c r="K742" s="2"/>
      <c r="L742" s="2"/>
      <c r="M742" s="2"/>
      <c r="N742" s="2"/>
      <c r="O742" s="2"/>
    </row>
    <row r="743">
      <c r="J743" s="2"/>
      <c r="K743" s="2"/>
      <c r="L743" s="2"/>
      <c r="M743" s="2"/>
      <c r="N743" s="2"/>
      <c r="O743" s="2"/>
    </row>
    <row r="744">
      <c r="J744" s="2"/>
      <c r="K744" s="2"/>
      <c r="L744" s="2"/>
      <c r="M744" s="2"/>
      <c r="N744" s="2"/>
      <c r="O744" s="2"/>
    </row>
    <row r="745">
      <c r="J745" s="2"/>
      <c r="K745" s="2"/>
      <c r="L745" s="2"/>
      <c r="M745" s="2"/>
      <c r="N745" s="2"/>
      <c r="O745" s="2"/>
    </row>
    <row r="746">
      <c r="J746" s="2"/>
      <c r="K746" s="2"/>
      <c r="L746" s="2"/>
      <c r="M746" s="2"/>
      <c r="N746" s="2"/>
      <c r="O746" s="2"/>
    </row>
    <row r="747">
      <c r="J747" s="2"/>
      <c r="K747" s="2"/>
      <c r="L747" s="2"/>
      <c r="M747" s="2"/>
      <c r="N747" s="2"/>
      <c r="O747" s="2"/>
    </row>
    <row r="748">
      <c r="J748" s="2"/>
      <c r="K748" s="2"/>
      <c r="L748" s="2"/>
      <c r="M748" s="2"/>
      <c r="N748" s="2"/>
      <c r="O748" s="2"/>
    </row>
    <row r="749">
      <c r="J749" s="2"/>
      <c r="K749" s="2"/>
      <c r="L749" s="2"/>
      <c r="M749" s="2"/>
      <c r="N749" s="2"/>
      <c r="O749" s="2"/>
    </row>
    <row r="750">
      <c r="J750" s="2"/>
      <c r="K750" s="2"/>
      <c r="L750" s="2"/>
      <c r="M750" s="2"/>
      <c r="N750" s="2"/>
      <c r="O750" s="2"/>
    </row>
    <row r="751">
      <c r="J751" s="2"/>
      <c r="K751" s="2"/>
      <c r="L751" s="2"/>
      <c r="M751" s="2"/>
      <c r="N751" s="2"/>
      <c r="O751" s="2"/>
    </row>
    <row r="752">
      <c r="J752" s="2"/>
      <c r="K752" s="2"/>
      <c r="L752" s="2"/>
      <c r="M752" s="2"/>
      <c r="N752" s="2"/>
      <c r="O752" s="2"/>
    </row>
    <row r="753">
      <c r="J753" s="2"/>
      <c r="K753" s="2"/>
      <c r="L753" s="2"/>
      <c r="M753" s="2"/>
      <c r="N753" s="2"/>
      <c r="O753" s="2"/>
    </row>
    <row r="754">
      <c r="J754" s="2"/>
      <c r="K754" s="2"/>
      <c r="L754" s="2"/>
      <c r="M754" s="2"/>
      <c r="N754" s="2"/>
      <c r="O754" s="2"/>
    </row>
    <row r="755">
      <c r="J755" s="2"/>
      <c r="K755" s="2"/>
      <c r="L755" s="2"/>
      <c r="M755" s="2"/>
      <c r="N755" s="2"/>
      <c r="O755" s="2"/>
    </row>
    <row r="756">
      <c r="J756" s="2"/>
      <c r="K756" s="2"/>
      <c r="L756" s="2"/>
      <c r="M756" s="2"/>
      <c r="N756" s="2"/>
      <c r="O756" s="2"/>
    </row>
    <row r="757">
      <c r="J757" s="2"/>
      <c r="K757" s="2"/>
      <c r="L757" s="2"/>
      <c r="M757" s="2"/>
      <c r="N757" s="2"/>
      <c r="O757" s="2"/>
    </row>
    <row r="758">
      <c r="J758" s="2"/>
      <c r="K758" s="2"/>
      <c r="L758" s="2"/>
      <c r="M758" s="2"/>
      <c r="N758" s="2"/>
      <c r="O758" s="2"/>
    </row>
    <row r="759">
      <c r="J759" s="2"/>
      <c r="K759" s="2"/>
      <c r="L759" s="2"/>
      <c r="M759" s="2"/>
      <c r="N759" s="2"/>
      <c r="O759" s="2"/>
    </row>
    <row r="760">
      <c r="J760" s="2"/>
      <c r="K760" s="2"/>
      <c r="L760" s="2"/>
      <c r="M760" s="2"/>
      <c r="N760" s="2"/>
      <c r="O760" s="2"/>
    </row>
    <row r="761">
      <c r="J761" s="2"/>
      <c r="K761" s="2"/>
      <c r="L761" s="2"/>
      <c r="M761" s="2"/>
      <c r="N761" s="2"/>
      <c r="O761" s="2"/>
    </row>
    <row r="762">
      <c r="J762" s="2"/>
      <c r="K762" s="2"/>
      <c r="L762" s="2"/>
      <c r="M762" s="2"/>
      <c r="N762" s="2"/>
      <c r="O762" s="2"/>
    </row>
    <row r="763">
      <c r="J763" s="2"/>
      <c r="K763" s="2"/>
      <c r="L763" s="2"/>
      <c r="M763" s="2"/>
      <c r="N763" s="2"/>
      <c r="O763" s="2"/>
    </row>
    <row r="764">
      <c r="J764" s="2"/>
      <c r="K764" s="2"/>
      <c r="L764" s="2"/>
      <c r="M764" s="2"/>
      <c r="N764" s="2"/>
      <c r="O764" s="2"/>
    </row>
    <row r="765">
      <c r="J765" s="2"/>
      <c r="K765" s="2"/>
      <c r="L765" s="2"/>
      <c r="M765" s="2"/>
      <c r="N765" s="2"/>
      <c r="O765" s="2"/>
    </row>
    <row r="766">
      <c r="J766" s="2"/>
      <c r="K766" s="2"/>
      <c r="L766" s="2"/>
      <c r="M766" s="2"/>
      <c r="N766" s="2"/>
      <c r="O766" s="2"/>
    </row>
    <row r="767">
      <c r="J767" s="2"/>
      <c r="K767" s="2"/>
      <c r="L767" s="2"/>
      <c r="M767" s="2"/>
      <c r="N767" s="2"/>
      <c r="O767" s="2"/>
    </row>
    <row r="768">
      <c r="J768" s="2"/>
      <c r="K768" s="2"/>
      <c r="L768" s="2"/>
      <c r="M768" s="2"/>
      <c r="N768" s="2"/>
      <c r="O768" s="2"/>
    </row>
    <row r="769">
      <c r="J769" s="2"/>
      <c r="K769" s="2"/>
      <c r="L769" s="2"/>
      <c r="M769" s="2"/>
      <c r="N769" s="2"/>
      <c r="O769" s="2"/>
    </row>
    <row r="770">
      <c r="J770" s="2"/>
      <c r="K770" s="2"/>
      <c r="L770" s="2"/>
      <c r="M770" s="2"/>
      <c r="N770" s="2"/>
      <c r="O770" s="2"/>
    </row>
    <row r="771">
      <c r="J771" s="2"/>
      <c r="K771" s="2"/>
      <c r="L771" s="2"/>
      <c r="M771" s="2"/>
      <c r="N771" s="2"/>
      <c r="O771" s="2"/>
    </row>
    <row r="772">
      <c r="J772" s="2"/>
      <c r="K772" s="2"/>
      <c r="L772" s="2"/>
      <c r="M772" s="2"/>
      <c r="N772" s="2"/>
      <c r="O772" s="2"/>
    </row>
    <row r="773">
      <c r="J773" s="2"/>
      <c r="K773" s="2"/>
      <c r="L773" s="2"/>
      <c r="M773" s="2"/>
      <c r="N773" s="2"/>
      <c r="O773" s="2"/>
    </row>
    <row r="774">
      <c r="J774" s="2"/>
      <c r="K774" s="2"/>
      <c r="L774" s="2"/>
      <c r="M774" s="2"/>
      <c r="N774" s="2"/>
      <c r="O774" s="2"/>
    </row>
    <row r="775">
      <c r="J775" s="2"/>
      <c r="K775" s="2"/>
      <c r="L775" s="2"/>
      <c r="M775" s="2"/>
      <c r="N775" s="2"/>
      <c r="O775" s="2"/>
    </row>
    <row r="776">
      <c r="J776" s="2"/>
      <c r="K776" s="2"/>
      <c r="L776" s="2"/>
      <c r="M776" s="2"/>
      <c r="N776" s="2"/>
      <c r="O776" s="2"/>
    </row>
    <row r="777">
      <c r="J777" s="2"/>
      <c r="K777" s="2"/>
      <c r="L777" s="2"/>
      <c r="M777" s="2"/>
      <c r="N777" s="2"/>
      <c r="O777" s="2"/>
    </row>
    <row r="778">
      <c r="J778" s="2"/>
      <c r="K778" s="2"/>
      <c r="L778" s="2"/>
      <c r="M778" s="2"/>
      <c r="N778" s="2"/>
      <c r="O778" s="2"/>
    </row>
    <row r="779">
      <c r="J779" s="2"/>
      <c r="K779" s="2"/>
      <c r="L779" s="2"/>
      <c r="M779" s="2"/>
      <c r="N779" s="2"/>
      <c r="O779" s="2"/>
    </row>
    <row r="780">
      <c r="J780" s="2"/>
      <c r="K780" s="2"/>
      <c r="L780" s="2"/>
      <c r="M780" s="2"/>
      <c r="N780" s="2"/>
      <c r="O780" s="2"/>
    </row>
    <row r="781">
      <c r="J781" s="2"/>
      <c r="K781" s="2"/>
      <c r="L781" s="2"/>
      <c r="M781" s="2"/>
      <c r="N781" s="2"/>
      <c r="O781" s="2"/>
    </row>
    <row r="782">
      <c r="J782" s="2"/>
      <c r="K782" s="2"/>
      <c r="L782" s="2"/>
      <c r="M782" s="2"/>
      <c r="N782" s="2"/>
      <c r="O782" s="2"/>
    </row>
    <row r="783">
      <c r="J783" s="2"/>
      <c r="K783" s="2"/>
      <c r="L783" s="2"/>
      <c r="M783" s="2"/>
      <c r="N783" s="2"/>
      <c r="O783" s="2"/>
    </row>
    <row r="784">
      <c r="J784" s="2"/>
      <c r="K784" s="2"/>
      <c r="L784" s="2"/>
      <c r="M784" s="2"/>
      <c r="N784" s="2"/>
      <c r="O784" s="2"/>
    </row>
    <row r="785">
      <c r="J785" s="2"/>
      <c r="K785" s="2"/>
      <c r="L785" s="2"/>
      <c r="M785" s="2"/>
      <c r="N785" s="2"/>
      <c r="O785" s="2"/>
    </row>
    <row r="786">
      <c r="J786" s="2"/>
      <c r="K786" s="2"/>
      <c r="L786" s="2"/>
      <c r="M786" s="2"/>
      <c r="N786" s="2"/>
      <c r="O786" s="2"/>
    </row>
    <row r="787">
      <c r="J787" s="2"/>
      <c r="K787" s="2"/>
      <c r="L787" s="2"/>
      <c r="M787" s="2"/>
      <c r="N787" s="2"/>
      <c r="O787" s="2"/>
    </row>
    <row r="788">
      <c r="J788" s="2"/>
      <c r="K788" s="2"/>
      <c r="L788" s="2"/>
      <c r="M788" s="2"/>
      <c r="N788" s="2"/>
      <c r="O788" s="2"/>
    </row>
    <row r="789">
      <c r="J789" s="2"/>
      <c r="K789" s="2"/>
      <c r="L789" s="2"/>
      <c r="M789" s="2"/>
      <c r="N789" s="2"/>
      <c r="O789" s="2"/>
    </row>
    <row r="790">
      <c r="J790" s="2"/>
      <c r="K790" s="2"/>
      <c r="L790" s="2"/>
      <c r="M790" s="2"/>
      <c r="N790" s="2"/>
      <c r="O790" s="2"/>
    </row>
    <row r="791">
      <c r="J791" s="2"/>
      <c r="K791" s="2"/>
      <c r="L791" s="2"/>
      <c r="M791" s="2"/>
      <c r="N791" s="2"/>
      <c r="O791" s="2"/>
    </row>
    <row r="792">
      <c r="J792" s="2"/>
      <c r="K792" s="2"/>
      <c r="L792" s="2"/>
      <c r="M792" s="2"/>
      <c r="N792" s="2"/>
      <c r="O792" s="2"/>
    </row>
    <row r="793">
      <c r="J793" s="2"/>
      <c r="K793" s="2"/>
      <c r="L793" s="2"/>
      <c r="M793" s="2"/>
      <c r="N793" s="2"/>
      <c r="O793" s="2"/>
    </row>
    <row r="794">
      <c r="J794" s="2"/>
      <c r="K794" s="2"/>
      <c r="L794" s="2"/>
      <c r="M794" s="2"/>
      <c r="N794" s="2"/>
      <c r="O794" s="2"/>
    </row>
    <row r="795">
      <c r="J795" s="2"/>
      <c r="K795" s="2"/>
      <c r="L795" s="2"/>
      <c r="M795" s="2"/>
      <c r="N795" s="2"/>
      <c r="O795" s="2"/>
    </row>
    <row r="796">
      <c r="J796" s="2"/>
      <c r="K796" s="2"/>
      <c r="L796" s="2"/>
      <c r="M796" s="2"/>
      <c r="N796" s="2"/>
      <c r="O796" s="2"/>
    </row>
    <row r="797">
      <c r="J797" s="2"/>
      <c r="K797" s="2"/>
      <c r="L797" s="2"/>
      <c r="M797" s="2"/>
      <c r="N797" s="2"/>
      <c r="O797" s="2"/>
    </row>
    <row r="798">
      <c r="J798" s="2"/>
      <c r="K798" s="2"/>
      <c r="L798" s="2"/>
      <c r="M798" s="2"/>
      <c r="N798" s="2"/>
      <c r="O798" s="2"/>
    </row>
    <row r="799">
      <c r="J799" s="2"/>
      <c r="K799" s="2"/>
      <c r="L799" s="2"/>
      <c r="M799" s="2"/>
      <c r="N799" s="2"/>
      <c r="O799" s="2"/>
    </row>
    <row r="800">
      <c r="J800" s="2"/>
      <c r="K800" s="2"/>
      <c r="L800" s="2"/>
      <c r="M800" s="2"/>
      <c r="N800" s="2"/>
      <c r="O800" s="2"/>
    </row>
    <row r="801">
      <c r="J801" s="2"/>
      <c r="K801" s="2"/>
      <c r="L801" s="2"/>
      <c r="M801" s="2"/>
      <c r="N801" s="2"/>
      <c r="O801" s="2"/>
    </row>
    <row r="802">
      <c r="J802" s="2"/>
      <c r="K802" s="2"/>
      <c r="L802" s="2"/>
      <c r="M802" s="2"/>
      <c r="N802" s="2"/>
      <c r="O802" s="2"/>
    </row>
    <row r="803">
      <c r="J803" s="2"/>
      <c r="K803" s="2"/>
      <c r="L803" s="2"/>
      <c r="M803" s="2"/>
      <c r="N803" s="2"/>
      <c r="O803" s="2"/>
    </row>
    <row r="804">
      <c r="J804" s="2"/>
      <c r="K804" s="2"/>
      <c r="L804" s="2"/>
      <c r="M804" s="2"/>
      <c r="N804" s="2"/>
      <c r="O804" s="2"/>
    </row>
    <row r="805">
      <c r="J805" s="2"/>
      <c r="K805" s="2"/>
      <c r="L805" s="2"/>
      <c r="M805" s="2"/>
      <c r="N805" s="2"/>
      <c r="O805" s="2"/>
    </row>
    <row r="806">
      <c r="J806" s="2"/>
      <c r="K806" s="2"/>
      <c r="L806" s="2"/>
      <c r="M806" s="2"/>
      <c r="N806" s="2"/>
      <c r="O806" s="2"/>
    </row>
    <row r="807">
      <c r="J807" s="2"/>
      <c r="K807" s="2"/>
      <c r="L807" s="2"/>
      <c r="M807" s="2"/>
      <c r="N807" s="2"/>
      <c r="O807" s="2"/>
    </row>
    <row r="808">
      <c r="J808" s="2"/>
      <c r="K808" s="2"/>
      <c r="L808" s="2"/>
      <c r="M808" s="2"/>
      <c r="N808" s="2"/>
      <c r="O808" s="2"/>
    </row>
    <row r="809">
      <c r="J809" s="2"/>
      <c r="K809" s="2"/>
      <c r="L809" s="2"/>
      <c r="M809" s="2"/>
      <c r="N809" s="2"/>
      <c r="O809" s="2"/>
    </row>
    <row r="810">
      <c r="J810" s="2"/>
      <c r="K810" s="2"/>
      <c r="L810" s="2"/>
      <c r="M810" s="2"/>
      <c r="N810" s="2"/>
      <c r="O810" s="2"/>
    </row>
    <row r="811">
      <c r="J811" s="2"/>
      <c r="K811" s="2"/>
      <c r="L811" s="2"/>
      <c r="M811" s="2"/>
      <c r="N811" s="2"/>
      <c r="O811" s="2"/>
    </row>
    <row r="812">
      <c r="J812" s="2"/>
      <c r="K812" s="2"/>
      <c r="L812" s="2"/>
      <c r="M812" s="2"/>
      <c r="N812" s="2"/>
      <c r="O812" s="2"/>
    </row>
    <row r="813">
      <c r="J813" s="2"/>
      <c r="K813" s="2"/>
      <c r="L813" s="2"/>
      <c r="M813" s="2"/>
      <c r="N813" s="2"/>
      <c r="O813" s="2"/>
    </row>
    <row r="814">
      <c r="J814" s="2"/>
      <c r="K814" s="2"/>
      <c r="L814" s="2"/>
      <c r="M814" s="2"/>
      <c r="N814" s="2"/>
      <c r="O814" s="2"/>
    </row>
    <row r="815">
      <c r="J815" s="2"/>
      <c r="K815" s="2"/>
      <c r="L815" s="2"/>
      <c r="M815" s="2"/>
      <c r="N815" s="2"/>
      <c r="O815" s="2"/>
    </row>
    <row r="816">
      <c r="J816" s="2"/>
      <c r="K816" s="2"/>
      <c r="L816" s="2"/>
      <c r="M816" s="2"/>
      <c r="N816" s="2"/>
      <c r="O816" s="2"/>
    </row>
    <row r="817">
      <c r="J817" s="2"/>
      <c r="K817" s="2"/>
      <c r="L817" s="2"/>
      <c r="M817" s="2"/>
      <c r="N817" s="2"/>
      <c r="O817" s="2"/>
    </row>
    <row r="818">
      <c r="J818" s="2"/>
      <c r="K818" s="2"/>
      <c r="L818" s="2"/>
      <c r="M818" s="2"/>
      <c r="N818" s="2"/>
      <c r="O818" s="2"/>
    </row>
    <row r="819">
      <c r="J819" s="2"/>
      <c r="K819" s="2"/>
      <c r="L819" s="2"/>
      <c r="M819" s="2"/>
      <c r="N819" s="2"/>
      <c r="O819" s="2"/>
    </row>
    <row r="820">
      <c r="J820" s="2"/>
      <c r="K820" s="2"/>
      <c r="L820" s="2"/>
      <c r="M820" s="2"/>
      <c r="N820" s="2"/>
      <c r="O820" s="2"/>
    </row>
    <row r="821">
      <c r="J821" s="2"/>
      <c r="K821" s="2"/>
      <c r="L821" s="2"/>
      <c r="M821" s="2"/>
      <c r="N821" s="2"/>
      <c r="O821" s="2"/>
    </row>
    <row r="822">
      <c r="J822" s="2"/>
      <c r="K822" s="2"/>
      <c r="L822" s="2"/>
      <c r="M822" s="2"/>
      <c r="N822" s="2"/>
      <c r="O822" s="2"/>
    </row>
    <row r="823">
      <c r="J823" s="2"/>
      <c r="K823" s="2"/>
      <c r="L823" s="2"/>
      <c r="M823" s="2"/>
      <c r="N823" s="2"/>
      <c r="O823" s="2"/>
    </row>
    <row r="824">
      <c r="J824" s="2"/>
      <c r="K824" s="2"/>
      <c r="L824" s="2"/>
      <c r="M824" s="2"/>
      <c r="N824" s="2"/>
      <c r="O824" s="2"/>
    </row>
    <row r="825">
      <c r="J825" s="2"/>
      <c r="K825" s="2"/>
      <c r="L825" s="2"/>
      <c r="M825" s="2"/>
      <c r="N825" s="2"/>
      <c r="O825" s="2"/>
    </row>
    <row r="826">
      <c r="J826" s="2"/>
      <c r="K826" s="2"/>
      <c r="L826" s="2"/>
      <c r="M826" s="2"/>
      <c r="N826" s="2"/>
      <c r="O826" s="2"/>
    </row>
    <row r="827">
      <c r="J827" s="2"/>
      <c r="K827" s="2"/>
      <c r="L827" s="2"/>
      <c r="M827" s="2"/>
      <c r="N827" s="2"/>
      <c r="O827" s="2"/>
    </row>
    <row r="828">
      <c r="J828" s="2"/>
      <c r="K828" s="2"/>
      <c r="L828" s="2"/>
      <c r="M828" s="2"/>
      <c r="N828" s="2"/>
      <c r="O828" s="2"/>
    </row>
    <row r="829">
      <c r="J829" s="2"/>
      <c r="K829" s="2"/>
      <c r="L829" s="2"/>
      <c r="M829" s="2"/>
      <c r="N829" s="2"/>
      <c r="O829" s="2"/>
    </row>
    <row r="830">
      <c r="J830" s="2"/>
      <c r="K830" s="2"/>
      <c r="L830" s="2"/>
      <c r="M830" s="2"/>
      <c r="N830" s="2"/>
      <c r="O830" s="2"/>
    </row>
    <row r="831">
      <c r="J831" s="2"/>
      <c r="K831" s="2"/>
      <c r="L831" s="2"/>
      <c r="M831" s="2"/>
      <c r="N831" s="2"/>
      <c r="O831" s="2"/>
    </row>
    <row r="832">
      <c r="J832" s="2"/>
      <c r="K832" s="2"/>
      <c r="L832" s="2"/>
      <c r="M832" s="2"/>
      <c r="N832" s="2"/>
      <c r="O832" s="2"/>
    </row>
    <row r="833">
      <c r="J833" s="2"/>
      <c r="K833" s="2"/>
      <c r="L833" s="2"/>
      <c r="M833" s="2"/>
      <c r="N833" s="2"/>
      <c r="O833" s="2"/>
    </row>
    <row r="834">
      <c r="J834" s="2"/>
      <c r="K834" s="2"/>
      <c r="L834" s="2"/>
      <c r="M834" s="2"/>
      <c r="N834" s="2"/>
      <c r="O834" s="2"/>
    </row>
    <row r="835">
      <c r="J835" s="2"/>
      <c r="K835" s="2"/>
      <c r="L835" s="2"/>
      <c r="M835" s="2"/>
      <c r="N835" s="2"/>
      <c r="O835" s="2"/>
    </row>
    <row r="836">
      <c r="J836" s="2"/>
      <c r="K836" s="2"/>
      <c r="L836" s="2"/>
      <c r="M836" s="2"/>
      <c r="N836" s="2"/>
      <c r="O836" s="2"/>
    </row>
    <row r="837">
      <c r="J837" s="2"/>
      <c r="K837" s="2"/>
      <c r="L837" s="2"/>
      <c r="M837" s="2"/>
      <c r="N837" s="2"/>
      <c r="O837" s="2"/>
    </row>
    <row r="838">
      <c r="J838" s="2"/>
      <c r="K838" s="2"/>
      <c r="L838" s="2"/>
      <c r="M838" s="2"/>
      <c r="N838" s="2"/>
      <c r="O838" s="2"/>
    </row>
    <row r="839">
      <c r="J839" s="2"/>
      <c r="K839" s="2"/>
      <c r="L839" s="2"/>
      <c r="M839" s="2"/>
      <c r="N839" s="2"/>
      <c r="O839" s="2"/>
    </row>
    <row r="840">
      <c r="J840" s="2"/>
      <c r="K840" s="2"/>
      <c r="L840" s="2"/>
      <c r="M840" s="2"/>
      <c r="N840" s="2"/>
      <c r="O840" s="2"/>
    </row>
    <row r="841">
      <c r="J841" s="2"/>
      <c r="K841" s="2"/>
      <c r="L841" s="2"/>
      <c r="M841" s="2"/>
      <c r="N841" s="2"/>
      <c r="O841" s="2"/>
    </row>
    <row r="842">
      <c r="J842" s="2"/>
      <c r="K842" s="2"/>
      <c r="L842" s="2"/>
      <c r="M842" s="2"/>
      <c r="N842" s="2"/>
      <c r="O842" s="2"/>
    </row>
    <row r="843">
      <c r="J843" s="2"/>
      <c r="K843" s="2"/>
      <c r="L843" s="2"/>
      <c r="M843" s="2"/>
      <c r="N843" s="2"/>
      <c r="O843" s="2"/>
    </row>
    <row r="844">
      <c r="J844" s="2"/>
      <c r="K844" s="2"/>
      <c r="L844" s="2"/>
      <c r="M844" s="2"/>
      <c r="N844" s="2"/>
      <c r="O844" s="2"/>
    </row>
    <row r="845">
      <c r="J845" s="2"/>
      <c r="K845" s="2"/>
      <c r="L845" s="2"/>
      <c r="M845" s="2"/>
      <c r="N845" s="2"/>
      <c r="O845" s="2"/>
    </row>
    <row r="846">
      <c r="J846" s="2"/>
      <c r="K846" s="2"/>
      <c r="L846" s="2"/>
      <c r="M846" s="2"/>
      <c r="N846" s="2"/>
      <c r="O846" s="2"/>
    </row>
    <row r="847">
      <c r="J847" s="2"/>
      <c r="K847" s="2"/>
      <c r="L847" s="2"/>
      <c r="M847" s="2"/>
      <c r="N847" s="2"/>
      <c r="O847" s="2"/>
    </row>
    <row r="848">
      <c r="J848" s="2"/>
      <c r="K848" s="2"/>
      <c r="L848" s="2"/>
      <c r="M848" s="2"/>
      <c r="N848" s="2"/>
      <c r="O848" s="2"/>
    </row>
    <row r="849">
      <c r="J849" s="2"/>
      <c r="K849" s="2"/>
      <c r="L849" s="2"/>
      <c r="M849" s="2"/>
      <c r="N849" s="2"/>
      <c r="O849" s="2"/>
    </row>
    <row r="850">
      <c r="J850" s="2"/>
      <c r="K850" s="2"/>
      <c r="L850" s="2"/>
      <c r="M850" s="2"/>
      <c r="N850" s="2"/>
      <c r="O850" s="2"/>
    </row>
    <row r="851">
      <c r="J851" s="2"/>
      <c r="K851" s="2"/>
      <c r="L851" s="2"/>
      <c r="M851" s="2"/>
      <c r="N851" s="2"/>
      <c r="O851" s="2"/>
    </row>
    <row r="852">
      <c r="J852" s="2"/>
      <c r="K852" s="2"/>
      <c r="L852" s="2"/>
      <c r="M852" s="2"/>
      <c r="N852" s="2"/>
      <c r="O852" s="2"/>
    </row>
    <row r="853">
      <c r="J853" s="2"/>
      <c r="K853" s="2"/>
      <c r="L853" s="2"/>
      <c r="M853" s="2"/>
      <c r="N853" s="2"/>
      <c r="O853" s="2"/>
    </row>
    <row r="854">
      <c r="J854" s="2"/>
      <c r="K854" s="2"/>
      <c r="L854" s="2"/>
      <c r="M854" s="2"/>
      <c r="N854" s="2"/>
      <c r="O854" s="2"/>
    </row>
    <row r="855">
      <c r="J855" s="2"/>
      <c r="K855" s="2"/>
      <c r="L855" s="2"/>
      <c r="M855" s="2"/>
      <c r="N855" s="2"/>
      <c r="O855" s="2"/>
    </row>
    <row r="856">
      <c r="J856" s="2"/>
      <c r="K856" s="2"/>
      <c r="L856" s="2"/>
      <c r="M856" s="2"/>
      <c r="N856" s="2"/>
      <c r="O856" s="2"/>
    </row>
    <row r="857">
      <c r="J857" s="2"/>
      <c r="K857" s="2"/>
      <c r="L857" s="2"/>
      <c r="M857" s="2"/>
      <c r="N857" s="2"/>
      <c r="O857" s="2"/>
    </row>
    <row r="858">
      <c r="J858" s="2"/>
      <c r="K858" s="2"/>
      <c r="L858" s="2"/>
      <c r="M858" s="2"/>
      <c r="N858" s="2"/>
      <c r="O858" s="2"/>
    </row>
    <row r="859">
      <c r="J859" s="2"/>
      <c r="K859" s="2"/>
      <c r="L859" s="2"/>
      <c r="M859" s="2"/>
      <c r="N859" s="2"/>
      <c r="O859" s="2"/>
    </row>
    <row r="860">
      <c r="J860" s="2"/>
      <c r="K860" s="2"/>
      <c r="L860" s="2"/>
      <c r="M860" s="2"/>
      <c r="N860" s="2"/>
      <c r="O860" s="2"/>
    </row>
    <row r="861">
      <c r="J861" s="2"/>
      <c r="K861" s="2"/>
      <c r="L861" s="2"/>
      <c r="M861" s="2"/>
      <c r="N861" s="2"/>
      <c r="O861" s="2"/>
    </row>
    <row r="862">
      <c r="J862" s="2"/>
      <c r="K862" s="2"/>
      <c r="L862" s="2"/>
      <c r="M862" s="2"/>
      <c r="N862" s="2"/>
      <c r="O862" s="2"/>
    </row>
    <row r="863">
      <c r="J863" s="2"/>
      <c r="K863" s="2"/>
      <c r="L863" s="2"/>
      <c r="M863" s="2"/>
      <c r="N863" s="2"/>
      <c r="O863" s="2"/>
    </row>
    <row r="864">
      <c r="J864" s="2"/>
      <c r="K864" s="2"/>
      <c r="L864" s="2"/>
      <c r="M864" s="2"/>
      <c r="N864" s="2"/>
      <c r="O864" s="2"/>
    </row>
    <row r="865">
      <c r="J865" s="2"/>
      <c r="K865" s="2"/>
      <c r="L865" s="2"/>
      <c r="M865" s="2"/>
      <c r="N865" s="2"/>
      <c r="O865" s="2"/>
    </row>
    <row r="866">
      <c r="J866" s="2"/>
      <c r="K866" s="2"/>
      <c r="L866" s="2"/>
      <c r="M866" s="2"/>
      <c r="N866" s="2"/>
      <c r="O866" s="2"/>
    </row>
    <row r="867">
      <c r="J867" s="2"/>
      <c r="K867" s="2"/>
      <c r="L867" s="2"/>
      <c r="M867" s="2"/>
      <c r="N867" s="2"/>
      <c r="O867" s="2"/>
    </row>
    <row r="868">
      <c r="J868" s="2"/>
      <c r="K868" s="2"/>
      <c r="L868" s="2"/>
      <c r="M868" s="2"/>
      <c r="N868" s="2"/>
      <c r="O868" s="2"/>
    </row>
    <row r="869">
      <c r="J869" s="2"/>
      <c r="K869" s="2"/>
      <c r="L869" s="2"/>
      <c r="M869" s="2"/>
      <c r="N869" s="2"/>
      <c r="O869" s="2"/>
    </row>
    <row r="870">
      <c r="J870" s="2"/>
      <c r="K870" s="2"/>
      <c r="L870" s="2"/>
      <c r="M870" s="2"/>
      <c r="N870" s="2"/>
      <c r="O870" s="2"/>
    </row>
    <row r="871">
      <c r="J871" s="2"/>
      <c r="K871" s="2"/>
      <c r="L871" s="2"/>
      <c r="M871" s="2"/>
      <c r="N871" s="2"/>
      <c r="O871" s="2"/>
    </row>
    <row r="872">
      <c r="J872" s="2"/>
      <c r="K872" s="2"/>
      <c r="L872" s="2"/>
      <c r="M872" s="2"/>
      <c r="N872" s="2"/>
      <c r="O872" s="2"/>
    </row>
    <row r="873">
      <c r="J873" s="2"/>
      <c r="K873" s="2"/>
      <c r="L873" s="2"/>
      <c r="M873" s="2"/>
      <c r="N873" s="2"/>
      <c r="O873" s="2"/>
    </row>
    <row r="874">
      <c r="J874" s="2"/>
      <c r="K874" s="2"/>
      <c r="L874" s="2"/>
      <c r="M874" s="2"/>
      <c r="N874" s="2"/>
      <c r="O874" s="2"/>
    </row>
    <row r="875">
      <c r="J875" s="2"/>
      <c r="K875" s="2"/>
      <c r="L875" s="2"/>
      <c r="M875" s="2"/>
      <c r="N875" s="2"/>
      <c r="O875" s="2"/>
    </row>
    <row r="876">
      <c r="J876" s="2"/>
      <c r="K876" s="2"/>
      <c r="L876" s="2"/>
      <c r="M876" s="2"/>
      <c r="N876" s="2"/>
      <c r="O876" s="2"/>
    </row>
    <row r="877">
      <c r="J877" s="2"/>
      <c r="K877" s="2"/>
      <c r="L877" s="2"/>
      <c r="M877" s="2"/>
      <c r="N877" s="2"/>
      <c r="O877" s="2"/>
    </row>
    <row r="878">
      <c r="J878" s="2"/>
      <c r="K878" s="2"/>
      <c r="L878" s="2"/>
      <c r="M878" s="2"/>
      <c r="N878" s="2"/>
      <c r="O878" s="2"/>
    </row>
    <row r="879">
      <c r="J879" s="2"/>
      <c r="K879" s="2"/>
      <c r="L879" s="2"/>
      <c r="M879" s="2"/>
      <c r="N879" s="2"/>
      <c r="O879" s="2"/>
    </row>
    <row r="880">
      <c r="J880" s="2"/>
      <c r="K880" s="2"/>
      <c r="L880" s="2"/>
      <c r="M880" s="2"/>
      <c r="N880" s="2"/>
      <c r="O880" s="2"/>
    </row>
    <row r="881">
      <c r="J881" s="2"/>
      <c r="K881" s="2"/>
      <c r="L881" s="2"/>
      <c r="M881" s="2"/>
      <c r="N881" s="2"/>
      <c r="O881" s="2"/>
    </row>
    <row r="882">
      <c r="J882" s="2"/>
      <c r="K882" s="2"/>
      <c r="L882" s="2"/>
      <c r="M882" s="2"/>
      <c r="N882" s="2"/>
      <c r="O882" s="2"/>
    </row>
    <row r="883">
      <c r="J883" s="2"/>
      <c r="K883" s="2"/>
      <c r="L883" s="2"/>
      <c r="M883" s="2"/>
      <c r="N883" s="2"/>
      <c r="O883" s="2"/>
    </row>
    <row r="884">
      <c r="J884" s="2"/>
      <c r="K884" s="2"/>
      <c r="L884" s="2"/>
      <c r="M884" s="2"/>
      <c r="N884" s="2"/>
      <c r="O884" s="2"/>
    </row>
    <row r="885">
      <c r="J885" s="2"/>
      <c r="K885" s="2"/>
      <c r="L885" s="2"/>
      <c r="M885" s="2"/>
      <c r="N885" s="2"/>
      <c r="O885" s="2"/>
    </row>
    <row r="886">
      <c r="J886" s="2"/>
      <c r="K886" s="2"/>
      <c r="L886" s="2"/>
      <c r="M886" s="2"/>
      <c r="N886" s="2"/>
      <c r="O886" s="2"/>
    </row>
    <row r="887">
      <c r="J887" s="2"/>
      <c r="K887" s="2"/>
      <c r="L887" s="2"/>
      <c r="M887" s="2"/>
      <c r="N887" s="2"/>
      <c r="O887" s="2"/>
    </row>
    <row r="888">
      <c r="J888" s="2"/>
      <c r="K888" s="2"/>
      <c r="L888" s="2"/>
      <c r="M888" s="2"/>
      <c r="N888" s="2"/>
      <c r="O888" s="2"/>
    </row>
    <row r="889">
      <c r="J889" s="2"/>
      <c r="K889" s="2"/>
      <c r="L889" s="2"/>
      <c r="M889" s="2"/>
      <c r="N889" s="2"/>
      <c r="O889" s="2"/>
    </row>
    <row r="890">
      <c r="J890" s="2"/>
      <c r="K890" s="2"/>
      <c r="L890" s="2"/>
      <c r="M890" s="2"/>
      <c r="N890" s="2"/>
      <c r="O890" s="2"/>
    </row>
    <row r="891">
      <c r="J891" s="2"/>
      <c r="K891" s="2"/>
      <c r="L891" s="2"/>
      <c r="M891" s="2"/>
      <c r="N891" s="2"/>
      <c r="O891" s="2"/>
    </row>
    <row r="892">
      <c r="J892" s="2"/>
      <c r="K892" s="2"/>
      <c r="L892" s="2"/>
      <c r="M892" s="2"/>
      <c r="N892" s="2"/>
      <c r="O892" s="2"/>
    </row>
    <row r="893">
      <c r="J893" s="2"/>
      <c r="K893" s="2"/>
      <c r="L893" s="2"/>
      <c r="M893" s="2"/>
      <c r="N893" s="2"/>
      <c r="O893" s="2"/>
    </row>
    <row r="894">
      <c r="J894" s="2"/>
      <c r="K894" s="2"/>
      <c r="L894" s="2"/>
      <c r="M894" s="2"/>
      <c r="N894" s="2"/>
      <c r="O894" s="2"/>
    </row>
    <row r="895">
      <c r="J895" s="2"/>
      <c r="K895" s="2"/>
      <c r="L895" s="2"/>
      <c r="M895" s="2"/>
      <c r="N895" s="2"/>
      <c r="O895" s="2"/>
    </row>
    <row r="896">
      <c r="J896" s="2"/>
      <c r="K896" s="2"/>
      <c r="L896" s="2"/>
      <c r="M896" s="2"/>
      <c r="N896" s="2"/>
      <c r="O896" s="2"/>
    </row>
    <row r="897">
      <c r="J897" s="2"/>
      <c r="K897" s="2"/>
      <c r="L897" s="2"/>
      <c r="M897" s="2"/>
      <c r="N897" s="2"/>
      <c r="O897" s="2"/>
    </row>
    <row r="898">
      <c r="J898" s="2"/>
      <c r="K898" s="2"/>
      <c r="L898" s="2"/>
      <c r="M898" s="2"/>
      <c r="N898" s="2"/>
      <c r="O898" s="2"/>
    </row>
    <row r="899">
      <c r="J899" s="2"/>
      <c r="K899" s="2"/>
      <c r="L899" s="2"/>
      <c r="M899" s="2"/>
      <c r="N899" s="2"/>
      <c r="O899" s="2"/>
    </row>
    <row r="900">
      <c r="J900" s="2"/>
      <c r="K900" s="2"/>
      <c r="L900" s="2"/>
      <c r="M900" s="2"/>
      <c r="N900" s="2"/>
      <c r="O900" s="2"/>
    </row>
    <row r="901">
      <c r="J901" s="2"/>
      <c r="K901" s="2"/>
      <c r="L901" s="2"/>
      <c r="M901" s="2"/>
      <c r="N901" s="2"/>
      <c r="O901" s="2"/>
    </row>
    <row r="902">
      <c r="J902" s="2"/>
      <c r="K902" s="2"/>
      <c r="L902" s="2"/>
      <c r="M902" s="2"/>
      <c r="N902" s="2"/>
      <c r="O902" s="2"/>
    </row>
    <row r="903">
      <c r="J903" s="2"/>
      <c r="K903" s="2"/>
      <c r="L903" s="2"/>
      <c r="M903" s="2"/>
      <c r="N903" s="2"/>
      <c r="O903" s="2"/>
    </row>
    <row r="904">
      <c r="J904" s="2"/>
      <c r="K904" s="2"/>
      <c r="L904" s="2"/>
      <c r="M904" s="2"/>
      <c r="N904" s="2"/>
      <c r="O904" s="2"/>
    </row>
    <row r="905">
      <c r="J905" s="2"/>
      <c r="K905" s="2"/>
      <c r="L905" s="2"/>
      <c r="M905" s="2"/>
      <c r="N905" s="2"/>
      <c r="O905" s="2"/>
    </row>
    <row r="906">
      <c r="J906" s="2"/>
      <c r="K906" s="2"/>
      <c r="L906" s="2"/>
      <c r="M906" s="2"/>
      <c r="N906" s="2"/>
      <c r="O906" s="2"/>
    </row>
    <row r="907">
      <c r="J907" s="2"/>
      <c r="K907" s="2"/>
      <c r="L907" s="2"/>
      <c r="M907" s="2"/>
      <c r="N907" s="2"/>
      <c r="O907" s="2"/>
    </row>
    <row r="908">
      <c r="J908" s="2"/>
      <c r="K908" s="2"/>
      <c r="L908" s="2"/>
      <c r="M908" s="2"/>
      <c r="N908" s="2"/>
      <c r="O908" s="2"/>
    </row>
    <row r="909">
      <c r="J909" s="2"/>
      <c r="K909" s="2"/>
      <c r="L909" s="2"/>
      <c r="M909" s="2"/>
      <c r="N909" s="2"/>
      <c r="O909" s="2"/>
    </row>
    <row r="910">
      <c r="J910" s="2"/>
      <c r="K910" s="2"/>
      <c r="L910" s="2"/>
      <c r="M910" s="2"/>
      <c r="N910" s="2"/>
      <c r="O910" s="2"/>
    </row>
    <row r="911">
      <c r="J911" s="2"/>
      <c r="K911" s="2"/>
      <c r="L911" s="2"/>
      <c r="M911" s="2"/>
      <c r="N911" s="2"/>
      <c r="O911" s="2"/>
    </row>
    <row r="912">
      <c r="J912" s="2"/>
      <c r="K912" s="2"/>
      <c r="L912" s="2"/>
      <c r="M912" s="2"/>
      <c r="N912" s="2"/>
      <c r="O912" s="2"/>
    </row>
    <row r="913">
      <c r="J913" s="2"/>
      <c r="K913" s="2"/>
      <c r="L913" s="2"/>
      <c r="M913" s="2"/>
      <c r="N913" s="2"/>
      <c r="O913" s="2"/>
    </row>
    <row r="914">
      <c r="J914" s="2"/>
      <c r="K914" s="2"/>
      <c r="L914" s="2"/>
      <c r="M914" s="2"/>
      <c r="N914" s="2"/>
      <c r="O914" s="2"/>
    </row>
    <row r="915">
      <c r="J915" s="2"/>
      <c r="K915" s="2"/>
      <c r="L915" s="2"/>
      <c r="M915" s="2"/>
      <c r="N915" s="2"/>
      <c r="O915" s="2"/>
    </row>
    <row r="916">
      <c r="J916" s="2"/>
      <c r="K916" s="2"/>
      <c r="L916" s="2"/>
      <c r="M916" s="2"/>
      <c r="N916" s="2"/>
      <c r="O916" s="2"/>
    </row>
    <row r="917">
      <c r="J917" s="2"/>
      <c r="K917" s="2"/>
      <c r="L917" s="2"/>
      <c r="M917" s="2"/>
      <c r="N917" s="2"/>
      <c r="O917" s="2"/>
    </row>
    <row r="918">
      <c r="J918" s="2"/>
      <c r="K918" s="2"/>
      <c r="L918" s="2"/>
      <c r="M918" s="2"/>
      <c r="N918" s="2"/>
      <c r="O918" s="2"/>
    </row>
    <row r="919">
      <c r="J919" s="2"/>
      <c r="K919" s="2"/>
      <c r="L919" s="2"/>
      <c r="M919" s="2"/>
      <c r="N919" s="2"/>
      <c r="O919" s="2"/>
    </row>
    <row r="920">
      <c r="J920" s="2"/>
      <c r="K920" s="2"/>
      <c r="L920" s="2"/>
      <c r="M920" s="2"/>
      <c r="N920" s="2"/>
      <c r="O920" s="2"/>
    </row>
    <row r="921">
      <c r="J921" s="2"/>
      <c r="K921" s="2"/>
      <c r="L921" s="2"/>
      <c r="M921" s="2"/>
      <c r="N921" s="2"/>
      <c r="O921" s="2"/>
    </row>
    <row r="922">
      <c r="J922" s="2"/>
      <c r="K922" s="2"/>
      <c r="L922" s="2"/>
      <c r="M922" s="2"/>
      <c r="N922" s="2"/>
      <c r="O922" s="2"/>
    </row>
    <row r="923">
      <c r="J923" s="2"/>
      <c r="K923" s="2"/>
      <c r="L923" s="2"/>
      <c r="M923" s="2"/>
      <c r="N923" s="2"/>
      <c r="O923" s="2"/>
    </row>
    <row r="924">
      <c r="J924" s="2"/>
      <c r="K924" s="2"/>
      <c r="L924" s="2"/>
      <c r="M924" s="2"/>
      <c r="N924" s="2"/>
      <c r="O924" s="2"/>
    </row>
    <row r="925">
      <c r="J925" s="2"/>
      <c r="K925" s="2"/>
      <c r="L925" s="2"/>
      <c r="M925" s="2"/>
      <c r="N925" s="2"/>
      <c r="O925" s="2"/>
    </row>
    <row r="926">
      <c r="J926" s="2"/>
      <c r="K926" s="2"/>
      <c r="L926" s="2"/>
      <c r="M926" s="2"/>
      <c r="N926" s="2"/>
      <c r="O926" s="2"/>
    </row>
    <row r="927">
      <c r="J927" s="2"/>
      <c r="K927" s="2"/>
      <c r="L927" s="2"/>
      <c r="M927" s="2"/>
      <c r="N927" s="2"/>
      <c r="O927" s="2"/>
    </row>
    <row r="928">
      <c r="J928" s="2"/>
      <c r="K928" s="2"/>
      <c r="L928" s="2"/>
      <c r="M928" s="2"/>
      <c r="N928" s="2"/>
      <c r="O928" s="2"/>
    </row>
    <row r="929">
      <c r="J929" s="2"/>
      <c r="K929" s="2"/>
      <c r="L929" s="2"/>
      <c r="M929" s="2"/>
      <c r="N929" s="2"/>
      <c r="O929" s="2"/>
    </row>
    <row r="930">
      <c r="J930" s="2"/>
      <c r="K930" s="2"/>
      <c r="L930" s="2"/>
      <c r="M930" s="2"/>
      <c r="N930" s="2"/>
      <c r="O930" s="2"/>
    </row>
    <row r="931">
      <c r="J931" s="2"/>
      <c r="K931" s="2"/>
      <c r="L931" s="2"/>
      <c r="M931" s="2"/>
      <c r="N931" s="2"/>
      <c r="O931" s="2"/>
    </row>
    <row r="932">
      <c r="J932" s="2"/>
      <c r="K932" s="2"/>
      <c r="L932" s="2"/>
      <c r="M932" s="2"/>
      <c r="N932" s="2"/>
      <c r="O932" s="2"/>
    </row>
    <row r="933">
      <c r="J933" s="2"/>
      <c r="K933" s="2"/>
      <c r="L933" s="2"/>
      <c r="M933" s="2"/>
      <c r="N933" s="2"/>
      <c r="O933" s="2"/>
    </row>
    <row r="934">
      <c r="J934" s="2"/>
      <c r="K934" s="2"/>
      <c r="L934" s="2"/>
      <c r="M934" s="2"/>
      <c r="N934" s="2"/>
      <c r="O934" s="2"/>
    </row>
    <row r="935">
      <c r="J935" s="2"/>
      <c r="K935" s="2"/>
      <c r="L935" s="2"/>
      <c r="M935" s="2"/>
      <c r="N935" s="2"/>
      <c r="O935" s="2"/>
    </row>
    <row r="936">
      <c r="J936" s="2"/>
      <c r="K936" s="2"/>
      <c r="L936" s="2"/>
      <c r="M936" s="2"/>
      <c r="N936" s="2"/>
      <c r="O936" s="2"/>
    </row>
    <row r="937">
      <c r="J937" s="2"/>
      <c r="K937" s="2"/>
      <c r="L937" s="2"/>
      <c r="M937" s="2"/>
      <c r="N937" s="2"/>
      <c r="O937" s="2"/>
    </row>
    <row r="938">
      <c r="J938" s="2"/>
      <c r="K938" s="2"/>
      <c r="L938" s="2"/>
      <c r="M938" s="2"/>
      <c r="N938" s="2"/>
      <c r="O938" s="2"/>
    </row>
    <row r="939">
      <c r="J939" s="2"/>
      <c r="K939" s="2"/>
      <c r="L939" s="2"/>
      <c r="M939" s="2"/>
      <c r="N939" s="2"/>
      <c r="O939" s="2"/>
    </row>
    <row r="940">
      <c r="J940" s="2"/>
      <c r="K940" s="2"/>
      <c r="L940" s="2"/>
      <c r="M940" s="2"/>
      <c r="N940" s="2"/>
      <c r="O940" s="2"/>
    </row>
    <row r="941">
      <c r="J941" s="2"/>
      <c r="K941" s="2"/>
      <c r="L941" s="2"/>
      <c r="M941" s="2"/>
      <c r="N941" s="2"/>
      <c r="O941" s="2"/>
    </row>
    <row r="942">
      <c r="J942" s="2"/>
      <c r="K942" s="2"/>
      <c r="L942" s="2"/>
      <c r="M942" s="2"/>
      <c r="N942" s="2"/>
      <c r="O942" s="2"/>
    </row>
    <row r="943">
      <c r="J943" s="2"/>
      <c r="K943" s="2"/>
      <c r="L943" s="2"/>
      <c r="M943" s="2"/>
      <c r="N943" s="2"/>
      <c r="O943" s="2"/>
    </row>
    <row r="944">
      <c r="J944" s="2"/>
      <c r="K944" s="2"/>
      <c r="L944" s="2"/>
      <c r="M944" s="2"/>
      <c r="N944" s="2"/>
      <c r="O944" s="2"/>
    </row>
    <row r="945">
      <c r="J945" s="2"/>
      <c r="K945" s="2"/>
      <c r="L945" s="2"/>
      <c r="M945" s="2"/>
      <c r="N945" s="2"/>
      <c r="O945" s="2"/>
    </row>
    <row r="946">
      <c r="J946" s="2"/>
      <c r="K946" s="2"/>
      <c r="L946" s="2"/>
      <c r="M946" s="2"/>
      <c r="N946" s="2"/>
      <c r="O946" s="2"/>
    </row>
    <row r="947">
      <c r="J947" s="2"/>
      <c r="K947" s="2"/>
      <c r="L947" s="2"/>
      <c r="M947" s="2"/>
      <c r="N947" s="2"/>
      <c r="O947" s="2"/>
    </row>
    <row r="948">
      <c r="J948" s="2"/>
      <c r="K948" s="2"/>
      <c r="L948" s="2"/>
      <c r="M948" s="2"/>
      <c r="N948" s="2"/>
      <c r="O948" s="2"/>
    </row>
    <row r="949">
      <c r="J949" s="2"/>
      <c r="K949" s="2"/>
      <c r="L949" s="2"/>
      <c r="M949" s="2"/>
      <c r="N949" s="2"/>
      <c r="O949" s="2"/>
    </row>
    <row r="950">
      <c r="J950" s="2"/>
      <c r="K950" s="2"/>
      <c r="L950" s="2"/>
      <c r="M950" s="2"/>
      <c r="N950" s="2"/>
      <c r="O950" s="2"/>
    </row>
    <row r="951">
      <c r="J951" s="2"/>
      <c r="K951" s="2"/>
      <c r="L951" s="2"/>
      <c r="M951" s="2"/>
      <c r="N951" s="2"/>
      <c r="O951" s="2"/>
    </row>
    <row r="952">
      <c r="J952" s="2"/>
      <c r="K952" s="2"/>
      <c r="L952" s="2"/>
      <c r="M952" s="2"/>
      <c r="N952" s="2"/>
      <c r="O952" s="2"/>
    </row>
    <row r="953">
      <c r="J953" s="2"/>
      <c r="K953" s="2"/>
      <c r="L953" s="2"/>
      <c r="M953" s="2"/>
      <c r="N953" s="2"/>
      <c r="O953" s="2"/>
    </row>
    <row r="954">
      <c r="J954" s="2"/>
      <c r="K954" s="2"/>
      <c r="L954" s="2"/>
      <c r="M954" s="2"/>
      <c r="N954" s="2"/>
      <c r="O954" s="2"/>
    </row>
    <row r="955">
      <c r="J955" s="2"/>
      <c r="K955" s="2"/>
      <c r="L955" s="2"/>
      <c r="M955" s="2"/>
      <c r="N955" s="2"/>
      <c r="O955" s="2"/>
    </row>
    <row r="956">
      <c r="J956" s="2"/>
      <c r="K956" s="2"/>
      <c r="L956" s="2"/>
      <c r="M956" s="2"/>
      <c r="N956" s="2"/>
      <c r="O956" s="2"/>
    </row>
    <row r="957">
      <c r="J957" s="2"/>
      <c r="K957" s="2"/>
      <c r="L957" s="2"/>
      <c r="M957" s="2"/>
      <c r="N957" s="2"/>
      <c r="O957" s="2"/>
    </row>
    <row r="958">
      <c r="J958" s="2"/>
      <c r="K958" s="2"/>
      <c r="L958" s="2"/>
      <c r="M958" s="2"/>
      <c r="N958" s="2"/>
      <c r="O958" s="2"/>
    </row>
    <row r="959">
      <c r="J959" s="2"/>
      <c r="K959" s="2"/>
      <c r="L959" s="2"/>
      <c r="M959" s="2"/>
      <c r="N959" s="2"/>
      <c r="O959" s="2"/>
    </row>
    <row r="960">
      <c r="J960" s="2"/>
      <c r="K960" s="2"/>
      <c r="L960" s="2"/>
      <c r="M960" s="2"/>
      <c r="N960" s="2"/>
      <c r="O960" s="2"/>
    </row>
    <row r="961">
      <c r="J961" s="2"/>
      <c r="K961" s="2"/>
      <c r="L961" s="2"/>
      <c r="M961" s="2"/>
      <c r="N961" s="2"/>
      <c r="O961" s="2"/>
    </row>
    <row r="962">
      <c r="J962" s="2"/>
      <c r="K962" s="2"/>
      <c r="L962" s="2"/>
      <c r="M962" s="2"/>
      <c r="N962" s="2"/>
      <c r="O962" s="2"/>
    </row>
    <row r="963">
      <c r="J963" s="2"/>
      <c r="K963" s="2"/>
      <c r="L963" s="2"/>
      <c r="M963" s="2"/>
      <c r="N963" s="2"/>
      <c r="O963" s="2"/>
    </row>
    <row r="964">
      <c r="J964" s="2"/>
      <c r="K964" s="2"/>
      <c r="L964" s="2"/>
      <c r="M964" s="2"/>
      <c r="N964" s="2"/>
      <c r="O964" s="2"/>
    </row>
    <row r="965">
      <c r="J965" s="2"/>
      <c r="K965" s="2"/>
      <c r="L965" s="2"/>
      <c r="M965" s="2"/>
      <c r="N965" s="2"/>
      <c r="O965" s="2"/>
    </row>
    <row r="966">
      <c r="J966" s="2"/>
      <c r="K966" s="2"/>
      <c r="L966" s="2"/>
      <c r="M966" s="2"/>
      <c r="N966" s="2"/>
      <c r="O966" s="2"/>
    </row>
    <row r="967">
      <c r="J967" s="2"/>
      <c r="K967" s="2"/>
      <c r="L967" s="2"/>
      <c r="M967" s="2"/>
      <c r="N967" s="2"/>
      <c r="O967" s="2"/>
    </row>
    <row r="968">
      <c r="J968" s="2"/>
      <c r="K968" s="2"/>
      <c r="L968" s="2"/>
      <c r="M968" s="2"/>
      <c r="N968" s="2"/>
      <c r="O968" s="2"/>
    </row>
    <row r="969">
      <c r="J969" s="2"/>
      <c r="K969" s="2"/>
      <c r="L969" s="2"/>
      <c r="M969" s="2"/>
      <c r="N969" s="2"/>
      <c r="O969" s="2"/>
    </row>
    <row r="970">
      <c r="J970" s="2"/>
      <c r="K970" s="2"/>
      <c r="L970" s="2"/>
      <c r="M970" s="2"/>
      <c r="N970" s="2"/>
      <c r="O970" s="2"/>
    </row>
    <row r="971">
      <c r="J971" s="2"/>
      <c r="K971" s="2"/>
      <c r="L971" s="2"/>
      <c r="M971" s="2"/>
      <c r="N971" s="2"/>
      <c r="O971" s="2"/>
    </row>
    <row r="972">
      <c r="J972" s="2"/>
      <c r="K972" s="2"/>
      <c r="L972" s="2"/>
      <c r="M972" s="2"/>
      <c r="N972" s="2"/>
      <c r="O972" s="2"/>
    </row>
    <row r="973">
      <c r="J973" s="2"/>
      <c r="K973" s="2"/>
      <c r="L973" s="2"/>
      <c r="M973" s="2"/>
      <c r="N973" s="2"/>
      <c r="O973" s="2"/>
    </row>
    <row r="974">
      <c r="J974" s="2"/>
      <c r="K974" s="2"/>
      <c r="L974" s="2"/>
      <c r="M974" s="2"/>
      <c r="N974" s="2"/>
      <c r="O974" s="2"/>
    </row>
    <row r="975">
      <c r="J975" s="2"/>
      <c r="K975" s="2"/>
      <c r="L975" s="2"/>
      <c r="M975" s="2"/>
      <c r="N975" s="2"/>
      <c r="O975" s="2"/>
    </row>
    <row r="976">
      <c r="J976" s="2"/>
      <c r="K976" s="2"/>
      <c r="L976" s="2"/>
      <c r="M976" s="2"/>
      <c r="N976" s="2"/>
      <c r="O976" s="2"/>
    </row>
    <row r="977">
      <c r="J977" s="2"/>
      <c r="K977" s="2"/>
      <c r="L977" s="2"/>
      <c r="M977" s="2"/>
      <c r="N977" s="2"/>
      <c r="O977" s="2"/>
    </row>
    <row r="978">
      <c r="J978" s="2"/>
      <c r="K978" s="2"/>
      <c r="L978" s="2"/>
      <c r="M978" s="2"/>
      <c r="N978" s="2"/>
      <c r="O978" s="2"/>
    </row>
    <row r="979">
      <c r="J979" s="2"/>
      <c r="K979" s="2"/>
      <c r="L979" s="2"/>
      <c r="M979" s="2"/>
      <c r="N979" s="2"/>
      <c r="O979" s="2"/>
    </row>
    <row r="980">
      <c r="J980" s="2"/>
      <c r="K980" s="2"/>
      <c r="L980" s="2"/>
      <c r="M980" s="2"/>
      <c r="N980" s="2"/>
      <c r="O980" s="2"/>
    </row>
    <row r="981">
      <c r="J981" s="2"/>
      <c r="K981" s="2"/>
      <c r="L981" s="2"/>
      <c r="M981" s="2"/>
      <c r="N981" s="2"/>
      <c r="O981" s="2"/>
    </row>
    <row r="982">
      <c r="J982" s="2"/>
      <c r="K982" s="2"/>
      <c r="L982" s="2"/>
      <c r="M982" s="2"/>
      <c r="N982" s="2"/>
      <c r="O982" s="2"/>
    </row>
    <row r="983">
      <c r="J983" s="2"/>
      <c r="K983" s="2"/>
      <c r="L983" s="2"/>
      <c r="M983" s="2"/>
      <c r="N983" s="2"/>
      <c r="O983" s="2"/>
    </row>
    <row r="984">
      <c r="J984" s="2"/>
      <c r="K984" s="2"/>
      <c r="L984" s="2"/>
      <c r="M984" s="2"/>
      <c r="N984" s="2"/>
      <c r="O984" s="2"/>
    </row>
    <row r="985">
      <c r="J985" s="2"/>
      <c r="K985" s="2"/>
      <c r="L985" s="2"/>
      <c r="M985" s="2"/>
      <c r="N985" s="2"/>
      <c r="O985" s="2"/>
    </row>
    <row r="986">
      <c r="J986" s="2"/>
      <c r="K986" s="2"/>
      <c r="L986" s="2"/>
      <c r="M986" s="2"/>
      <c r="N986" s="2"/>
      <c r="O986" s="2"/>
    </row>
    <row r="987">
      <c r="J987" s="2"/>
      <c r="K987" s="2"/>
      <c r="L987" s="2"/>
      <c r="M987" s="2"/>
      <c r="N987" s="2"/>
      <c r="O987" s="2"/>
    </row>
    <row r="988">
      <c r="J988" s="2"/>
      <c r="K988" s="2"/>
      <c r="L988" s="2"/>
      <c r="M988" s="2"/>
      <c r="N988" s="2"/>
      <c r="O988" s="2"/>
    </row>
    <row r="989">
      <c r="J989" s="2"/>
      <c r="K989" s="2"/>
      <c r="L989" s="2"/>
      <c r="M989" s="2"/>
      <c r="N989" s="2"/>
      <c r="O989" s="2"/>
    </row>
    <row r="990">
      <c r="J990" s="2"/>
      <c r="K990" s="2"/>
      <c r="L990" s="2"/>
      <c r="M990" s="2"/>
      <c r="N990" s="2"/>
      <c r="O990" s="2"/>
    </row>
    <row r="991">
      <c r="J991" s="2"/>
      <c r="K991" s="2"/>
      <c r="L991" s="2"/>
      <c r="M991" s="2"/>
      <c r="N991" s="2"/>
      <c r="O991" s="2"/>
    </row>
    <row r="992">
      <c r="J992" s="2"/>
      <c r="K992" s="2"/>
      <c r="L992" s="2"/>
      <c r="M992" s="2"/>
      <c r="N992" s="2"/>
      <c r="O992" s="2"/>
    </row>
    <row r="993">
      <c r="J993" s="2"/>
      <c r="K993" s="2"/>
      <c r="L993" s="2"/>
      <c r="M993" s="2"/>
      <c r="N993" s="2"/>
      <c r="O993" s="2"/>
    </row>
    <row r="994">
      <c r="J994" s="2"/>
      <c r="K994" s="2"/>
      <c r="L994" s="2"/>
      <c r="M994" s="2"/>
      <c r="N994" s="2"/>
      <c r="O994" s="2"/>
    </row>
    <row r="995">
      <c r="J995" s="2"/>
      <c r="K995" s="2"/>
      <c r="L995" s="2"/>
      <c r="M995" s="2"/>
      <c r="N995" s="2"/>
      <c r="O995" s="2"/>
    </row>
    <row r="996">
      <c r="J996" s="2"/>
      <c r="K996" s="2"/>
      <c r="L996" s="2"/>
      <c r="M996" s="2"/>
      <c r="N996" s="2"/>
      <c r="O996" s="2"/>
    </row>
    <row r="997">
      <c r="J997" s="2"/>
      <c r="K997" s="2"/>
      <c r="L997" s="2"/>
      <c r="M997" s="2"/>
      <c r="N997" s="2"/>
      <c r="O997" s="2"/>
    </row>
    <row r="998">
      <c r="J998" s="2"/>
      <c r="K998" s="2"/>
      <c r="L998" s="2"/>
      <c r="M998" s="2"/>
      <c r="N998" s="2"/>
      <c r="O998" s="2"/>
    </row>
    <row r="999">
      <c r="J999" s="2"/>
      <c r="K999" s="2"/>
      <c r="L999" s="2"/>
      <c r="M999" s="2"/>
      <c r="N999" s="2"/>
      <c r="O999" s="2"/>
    </row>
    <row r="1000">
      <c r="J1000" s="2"/>
      <c r="K1000" s="2"/>
      <c r="L1000" s="2"/>
      <c r="M1000" s="2"/>
      <c r="N1000" s="2"/>
      <c r="O1000" s="2"/>
    </row>
  </sheetData>
  <mergeCells count="4">
    <mergeCell ref="A15:D15"/>
    <mergeCell ref="F15:H15"/>
    <mergeCell ref="J15:L15"/>
    <mergeCell ref="N15:P15"/>
  </mergeCell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7" max="7" width="13.88"/>
  </cols>
  <sheetData>
    <row r="1">
      <c r="A1" s="23" t="s">
        <v>24</v>
      </c>
      <c r="B1" s="23" t="s">
        <v>2</v>
      </c>
      <c r="C1" s="23" t="s">
        <v>3</v>
      </c>
      <c r="D1" s="23" t="s">
        <v>4</v>
      </c>
      <c r="E1" s="23" t="s">
        <v>5</v>
      </c>
      <c r="F1" s="24" t="s">
        <v>25</v>
      </c>
      <c r="G1" s="25" t="s">
        <v>26</v>
      </c>
      <c r="H1" s="26" t="s">
        <v>27</v>
      </c>
      <c r="I1" s="27" t="s">
        <v>28</v>
      </c>
    </row>
    <row r="2">
      <c r="A2" s="28" t="s">
        <v>29</v>
      </c>
      <c r="B2" s="29">
        <v>2943.0</v>
      </c>
      <c r="C2" s="29">
        <v>3683.0</v>
      </c>
      <c r="D2" s="29">
        <v>2.180398E7</v>
      </c>
      <c r="E2" s="29">
        <v>1.0398135E7</v>
      </c>
      <c r="F2" s="30">
        <v>1.0</v>
      </c>
      <c r="G2" s="31">
        <f t="shared" ref="G2:G17" si="2">D2/B2</f>
        <v>7408.759769</v>
      </c>
      <c r="H2" s="32">
        <f t="shared" ref="H2:I2" si="1">C2/B2</f>
        <v>1.251444105</v>
      </c>
      <c r="I2" s="33">
        <f t="shared" si="1"/>
        <v>5920.168341</v>
      </c>
    </row>
    <row r="3">
      <c r="A3" s="28" t="s">
        <v>30</v>
      </c>
      <c r="B3" s="34">
        <v>346.0</v>
      </c>
      <c r="C3" s="34">
        <v>513.0</v>
      </c>
      <c r="D3" s="34">
        <v>2765015.0</v>
      </c>
      <c r="E3" s="34">
        <v>1386330.0</v>
      </c>
      <c r="F3" s="35">
        <f t="shared" ref="F3:F17" si="4">B3/$B$2</f>
        <v>0.1175671084</v>
      </c>
      <c r="G3" s="36">
        <f t="shared" si="2"/>
        <v>7991.372832</v>
      </c>
      <c r="H3" s="37">
        <f t="shared" ref="H3:I3" si="3">C3/B3</f>
        <v>1.48265896</v>
      </c>
      <c r="I3" s="38">
        <f t="shared" si="3"/>
        <v>5389.892788</v>
      </c>
    </row>
    <row r="4">
      <c r="A4" s="28" t="s">
        <v>31</v>
      </c>
      <c r="B4" s="34">
        <v>313.0</v>
      </c>
      <c r="C4" s="34">
        <v>451.0</v>
      </c>
      <c r="D4" s="34">
        <v>2352130.0</v>
      </c>
      <c r="E4" s="34">
        <v>1173700.0</v>
      </c>
      <c r="F4" s="35">
        <f t="shared" si="4"/>
        <v>0.1063540605</v>
      </c>
      <c r="G4" s="36">
        <f t="shared" si="2"/>
        <v>7514.792332</v>
      </c>
      <c r="H4" s="37">
        <f t="shared" ref="H4:I4" si="5">C4/B4</f>
        <v>1.440894569</v>
      </c>
      <c r="I4" s="38">
        <f t="shared" si="5"/>
        <v>5215.365854</v>
      </c>
    </row>
    <row r="5">
      <c r="A5" s="28" t="s">
        <v>32</v>
      </c>
      <c r="B5" s="34">
        <v>485.0</v>
      </c>
      <c r="C5" s="34">
        <v>819.0</v>
      </c>
      <c r="D5" s="34">
        <v>4692930.0</v>
      </c>
      <c r="E5" s="34">
        <v>2335300.0</v>
      </c>
      <c r="F5" s="35">
        <f t="shared" si="4"/>
        <v>0.1647978253</v>
      </c>
      <c r="G5" s="36">
        <f t="shared" si="2"/>
        <v>9676.14433</v>
      </c>
      <c r="H5" s="37">
        <f t="shared" ref="H5:I5" si="6">C5/B5</f>
        <v>1.688659794</v>
      </c>
      <c r="I5" s="38">
        <f t="shared" si="6"/>
        <v>5730.07326</v>
      </c>
    </row>
    <row r="6">
      <c r="A6" s="28" t="s">
        <v>33</v>
      </c>
      <c r="B6" s="34">
        <v>296.0</v>
      </c>
      <c r="C6" s="34">
        <v>435.0</v>
      </c>
      <c r="D6" s="34">
        <v>2411530.0</v>
      </c>
      <c r="E6" s="34">
        <v>1161600.0</v>
      </c>
      <c r="F6" s="35">
        <f t="shared" si="4"/>
        <v>0.1005776419</v>
      </c>
      <c r="G6" s="36">
        <f t="shared" si="2"/>
        <v>8147.060811</v>
      </c>
      <c r="H6" s="37">
        <f t="shared" ref="H6:I6" si="7">C6/B6</f>
        <v>1.469594595</v>
      </c>
      <c r="I6" s="38">
        <f t="shared" si="7"/>
        <v>5543.747126</v>
      </c>
    </row>
    <row r="7">
      <c r="A7" s="28" t="s">
        <v>34</v>
      </c>
      <c r="B7" s="34">
        <v>286.0</v>
      </c>
      <c r="C7" s="34">
        <v>453.0</v>
      </c>
      <c r="D7" s="34">
        <v>2186470.0</v>
      </c>
      <c r="E7" s="34">
        <v>1074425.0</v>
      </c>
      <c r="F7" s="35">
        <f t="shared" si="4"/>
        <v>0.09717974856</v>
      </c>
      <c r="G7" s="36">
        <f t="shared" si="2"/>
        <v>7645</v>
      </c>
      <c r="H7" s="37">
        <f t="shared" ref="H7:I7" si="8">C7/B7</f>
        <v>1.583916084</v>
      </c>
      <c r="I7" s="38">
        <f t="shared" si="8"/>
        <v>4826.644592</v>
      </c>
    </row>
    <row r="8">
      <c r="A8" s="28" t="s">
        <v>35</v>
      </c>
      <c r="B8" s="34">
        <v>245.0</v>
      </c>
      <c r="C8" s="34">
        <v>396.0</v>
      </c>
      <c r="D8" s="34">
        <v>2040280.0</v>
      </c>
      <c r="E8" s="34">
        <v>988295.0</v>
      </c>
      <c r="F8" s="35">
        <f t="shared" si="4"/>
        <v>0.083248386</v>
      </c>
      <c r="G8" s="36">
        <f t="shared" si="2"/>
        <v>8327.673469</v>
      </c>
      <c r="H8" s="37">
        <f t="shared" ref="H8:I8" si="9">C8/B8</f>
        <v>1.616326531</v>
      </c>
      <c r="I8" s="38">
        <f t="shared" si="9"/>
        <v>5152.222222</v>
      </c>
    </row>
    <row r="9">
      <c r="A9" s="28" t="s">
        <v>36</v>
      </c>
      <c r="B9" s="34">
        <v>420.0</v>
      </c>
      <c r="C9" s="34">
        <v>808.0</v>
      </c>
      <c r="D9" s="34">
        <v>4619175.0</v>
      </c>
      <c r="E9" s="34">
        <v>2215950.0</v>
      </c>
      <c r="F9" s="35">
        <f t="shared" si="4"/>
        <v>0.1427115189</v>
      </c>
      <c r="G9" s="36">
        <f t="shared" si="2"/>
        <v>10998.03571</v>
      </c>
      <c r="H9" s="37">
        <f t="shared" ref="H9:I9" si="10">C9/B9</f>
        <v>1.923809524</v>
      </c>
      <c r="I9" s="38">
        <f t="shared" si="10"/>
        <v>5716.800743</v>
      </c>
    </row>
    <row r="10">
      <c r="A10" s="28" t="s">
        <v>37</v>
      </c>
      <c r="B10" s="34">
        <v>312.0</v>
      </c>
      <c r="C10" s="34">
        <v>481.0</v>
      </c>
      <c r="D10" s="34">
        <v>2391565.0</v>
      </c>
      <c r="E10" s="34">
        <v>1101815.0</v>
      </c>
      <c r="F10" s="35">
        <f t="shared" si="4"/>
        <v>0.1060142712</v>
      </c>
      <c r="G10" s="36">
        <f t="shared" si="2"/>
        <v>7665.272436</v>
      </c>
      <c r="H10" s="37">
        <f t="shared" ref="H10:I10" si="11">C10/B10</f>
        <v>1.541666667</v>
      </c>
      <c r="I10" s="38">
        <f t="shared" si="11"/>
        <v>4972.068607</v>
      </c>
    </row>
    <row r="11">
      <c r="A11" s="28" t="s">
        <v>38</v>
      </c>
      <c r="B11" s="34">
        <v>281.0</v>
      </c>
      <c r="C11" s="34">
        <v>462.0</v>
      </c>
      <c r="D11" s="34">
        <v>2061895.0</v>
      </c>
      <c r="E11" s="34">
        <v>960080.0</v>
      </c>
      <c r="F11" s="35">
        <f t="shared" si="4"/>
        <v>0.0954808019</v>
      </c>
      <c r="G11" s="36">
        <f t="shared" si="2"/>
        <v>7337.704626</v>
      </c>
      <c r="H11" s="37">
        <f t="shared" ref="H11:I11" si="12">C11/B11</f>
        <v>1.644128114</v>
      </c>
      <c r="I11" s="38">
        <f t="shared" si="12"/>
        <v>4462.97619</v>
      </c>
    </row>
    <row r="12">
      <c r="A12" s="28" t="s">
        <v>39</v>
      </c>
      <c r="B12" s="34">
        <v>220.0</v>
      </c>
      <c r="C12" s="34">
        <v>384.0</v>
      </c>
      <c r="D12" s="34">
        <v>1826220.0</v>
      </c>
      <c r="E12" s="34">
        <v>838310.0</v>
      </c>
      <c r="F12" s="35">
        <f t="shared" si="4"/>
        <v>0.07475365274</v>
      </c>
      <c r="G12" s="36">
        <f t="shared" si="2"/>
        <v>8301</v>
      </c>
      <c r="H12" s="37">
        <f t="shared" ref="H12:I12" si="13">C12/B12</f>
        <v>1.745454545</v>
      </c>
      <c r="I12" s="38">
        <f t="shared" si="13"/>
        <v>4755.78125</v>
      </c>
    </row>
    <row r="13">
      <c r="A13" s="28" t="s">
        <v>40</v>
      </c>
      <c r="B13" s="34">
        <v>358.0</v>
      </c>
      <c r="C13" s="34">
        <v>722.0</v>
      </c>
      <c r="D13" s="34">
        <v>3652880.0</v>
      </c>
      <c r="E13" s="34">
        <v>1726835.0</v>
      </c>
      <c r="F13" s="35">
        <f t="shared" si="4"/>
        <v>0.1216445804</v>
      </c>
      <c r="G13" s="36">
        <f t="shared" si="2"/>
        <v>10203.57542</v>
      </c>
      <c r="H13" s="37">
        <f t="shared" ref="H13:I13" si="14">C13/B13</f>
        <v>2.016759777</v>
      </c>
      <c r="I13" s="38">
        <f t="shared" si="14"/>
        <v>5059.390582</v>
      </c>
    </row>
    <row r="14">
      <c r="A14" s="28" t="s">
        <v>41</v>
      </c>
      <c r="B14" s="34">
        <v>244.0</v>
      </c>
      <c r="C14" s="34">
        <v>397.0</v>
      </c>
      <c r="D14" s="34">
        <v>1945185.0</v>
      </c>
      <c r="E14" s="34">
        <v>908215.0</v>
      </c>
      <c r="F14" s="35">
        <f t="shared" si="4"/>
        <v>0.08290859667</v>
      </c>
      <c r="G14" s="36">
        <f t="shared" si="2"/>
        <v>7972.069672</v>
      </c>
      <c r="H14" s="37">
        <f t="shared" ref="H14:I14" si="15">C14/B14</f>
        <v>1.62704918</v>
      </c>
      <c r="I14" s="38">
        <f t="shared" si="15"/>
        <v>4899.710327</v>
      </c>
    </row>
    <row r="15">
      <c r="A15" s="28" t="s">
        <v>42</v>
      </c>
      <c r="B15" s="34">
        <v>236.0</v>
      </c>
      <c r="C15" s="34">
        <v>390.0</v>
      </c>
      <c r="D15" s="34">
        <v>1882925.0</v>
      </c>
      <c r="E15" s="34">
        <v>884840.0</v>
      </c>
      <c r="F15" s="35">
        <f t="shared" si="4"/>
        <v>0.08019028203</v>
      </c>
      <c r="G15" s="36">
        <f t="shared" si="2"/>
        <v>7978.495763</v>
      </c>
      <c r="H15" s="37">
        <f t="shared" ref="H15:I15" si="16">C15/B15</f>
        <v>1.652542373</v>
      </c>
      <c r="I15" s="38">
        <f t="shared" si="16"/>
        <v>4828.012821</v>
      </c>
    </row>
    <row r="16">
      <c r="A16" s="28" t="s">
        <v>43</v>
      </c>
      <c r="B16" s="34">
        <v>201.0</v>
      </c>
      <c r="C16" s="34">
        <v>338.0</v>
      </c>
      <c r="D16" s="34">
        <v>1504580.0</v>
      </c>
      <c r="E16" s="34">
        <v>703560.0</v>
      </c>
      <c r="F16" s="35">
        <f t="shared" si="4"/>
        <v>0.06829765545</v>
      </c>
      <c r="G16" s="36">
        <f t="shared" si="2"/>
        <v>7485.472637</v>
      </c>
      <c r="H16" s="37">
        <f t="shared" ref="H16:I16" si="17">C16/B16</f>
        <v>1.68159204</v>
      </c>
      <c r="I16" s="38">
        <f t="shared" si="17"/>
        <v>4451.420118</v>
      </c>
    </row>
    <row r="17">
      <c r="A17" s="28" t="s">
        <v>44</v>
      </c>
      <c r="B17" s="34">
        <v>353.0</v>
      </c>
      <c r="C17" s="34">
        <v>657.0</v>
      </c>
      <c r="D17" s="34">
        <v>3447070.0</v>
      </c>
      <c r="E17" s="34">
        <v>1627065.0</v>
      </c>
      <c r="F17" s="35">
        <f t="shared" si="4"/>
        <v>0.1199456337</v>
      </c>
      <c r="G17" s="36">
        <f t="shared" si="2"/>
        <v>9765.070822</v>
      </c>
      <c r="H17" s="37">
        <f t="shared" ref="H17:I17" si="18">C17/B17</f>
        <v>1.861189802</v>
      </c>
      <c r="I17" s="38">
        <f t="shared" si="18"/>
        <v>5246.681887</v>
      </c>
    </row>
    <row r="18">
      <c r="G18" s="39"/>
      <c r="H18" s="40"/>
      <c r="I18" s="41"/>
    </row>
    <row r="19">
      <c r="G19" s="39"/>
      <c r="H19" s="40"/>
      <c r="I19" s="41"/>
    </row>
    <row r="20">
      <c r="G20" s="39"/>
      <c r="H20" s="40"/>
      <c r="I20" s="41"/>
    </row>
    <row r="21">
      <c r="G21" s="39"/>
      <c r="H21" s="40"/>
      <c r="I21" s="41"/>
    </row>
    <row r="22">
      <c r="G22" s="39"/>
      <c r="H22" s="40"/>
      <c r="I22" s="41"/>
    </row>
    <row r="23">
      <c r="G23" s="39"/>
      <c r="H23" s="40"/>
      <c r="I23" s="41"/>
    </row>
    <row r="24">
      <c r="G24" s="39"/>
      <c r="H24" s="40"/>
      <c r="I24" s="41"/>
    </row>
    <row r="25">
      <c r="G25" s="39"/>
      <c r="H25" s="40"/>
      <c r="I25" s="41"/>
    </row>
    <row r="26">
      <c r="G26" s="39"/>
      <c r="H26" s="40"/>
      <c r="I26" s="41"/>
    </row>
    <row r="27">
      <c r="G27" s="39"/>
      <c r="H27" s="40"/>
      <c r="I27" s="41"/>
    </row>
    <row r="28">
      <c r="G28" s="39"/>
      <c r="H28" s="40"/>
      <c r="I28" s="41"/>
    </row>
    <row r="29">
      <c r="G29" s="39"/>
      <c r="H29" s="40"/>
      <c r="I29" s="41"/>
    </row>
    <row r="30">
      <c r="G30" s="39"/>
      <c r="H30" s="40"/>
      <c r="I30" s="41"/>
    </row>
    <row r="31">
      <c r="G31" s="39"/>
      <c r="H31" s="40"/>
      <c r="I31" s="41"/>
    </row>
    <row r="32">
      <c r="G32" s="39"/>
      <c r="H32" s="40"/>
      <c r="I32" s="41"/>
    </row>
    <row r="33">
      <c r="G33" s="39"/>
      <c r="H33" s="40"/>
      <c r="I33" s="41"/>
    </row>
    <row r="34">
      <c r="G34" s="39"/>
      <c r="H34" s="40"/>
      <c r="I34" s="41"/>
    </row>
    <row r="35">
      <c r="G35" s="39"/>
      <c r="H35" s="40"/>
      <c r="I35" s="41"/>
    </row>
    <row r="36">
      <c r="G36" s="39"/>
      <c r="H36" s="40"/>
      <c r="I36" s="41"/>
    </row>
    <row r="37">
      <c r="G37" s="39"/>
      <c r="H37" s="40"/>
      <c r="I37" s="41"/>
    </row>
    <row r="38">
      <c r="G38" s="39"/>
      <c r="H38" s="40"/>
      <c r="I38" s="41"/>
    </row>
    <row r="39">
      <c r="G39" s="39"/>
      <c r="H39" s="40"/>
      <c r="I39" s="41"/>
    </row>
    <row r="40">
      <c r="G40" s="39"/>
      <c r="H40" s="40"/>
      <c r="I40" s="41"/>
    </row>
    <row r="41">
      <c r="G41" s="39"/>
      <c r="H41" s="40"/>
      <c r="I41" s="41"/>
    </row>
    <row r="42">
      <c r="G42" s="39"/>
      <c r="H42" s="40"/>
      <c r="I42" s="41"/>
    </row>
    <row r="43">
      <c r="G43" s="39"/>
      <c r="H43" s="40"/>
      <c r="I43" s="41"/>
    </row>
    <row r="44">
      <c r="G44" s="39"/>
      <c r="H44" s="40"/>
      <c r="I44" s="41"/>
    </row>
    <row r="45">
      <c r="G45" s="39"/>
      <c r="H45" s="40"/>
      <c r="I45" s="41"/>
    </row>
    <row r="46">
      <c r="G46" s="39"/>
      <c r="H46" s="40"/>
      <c r="I46" s="41"/>
    </row>
    <row r="47">
      <c r="G47" s="39"/>
      <c r="H47" s="40"/>
      <c r="I47" s="41"/>
    </row>
    <row r="48">
      <c r="G48" s="39"/>
      <c r="H48" s="40"/>
      <c r="I48" s="41"/>
    </row>
    <row r="49">
      <c r="G49" s="39"/>
      <c r="H49" s="40"/>
      <c r="I49" s="41"/>
    </row>
    <row r="50">
      <c r="G50" s="39"/>
      <c r="H50" s="40"/>
      <c r="I50" s="41"/>
      <c r="L50" s="42"/>
    </row>
    <row r="51">
      <c r="G51" s="39"/>
      <c r="H51" s="40"/>
      <c r="I51" s="41"/>
    </row>
    <row r="52">
      <c r="G52" s="39"/>
      <c r="H52" s="40"/>
      <c r="I52" s="41"/>
    </row>
    <row r="53">
      <c r="G53" s="39"/>
      <c r="H53" s="40"/>
      <c r="I53" s="41"/>
    </row>
    <row r="54">
      <c r="G54" s="39"/>
      <c r="H54" s="40"/>
      <c r="I54" s="41"/>
    </row>
    <row r="55">
      <c r="G55" s="39"/>
      <c r="H55" s="40"/>
      <c r="I55" s="41"/>
    </row>
    <row r="56">
      <c r="G56" s="39"/>
      <c r="H56" s="40"/>
      <c r="I56" s="41"/>
    </row>
    <row r="57">
      <c r="G57" s="39"/>
      <c r="H57" s="40"/>
      <c r="I57" s="41"/>
    </row>
    <row r="58">
      <c r="G58" s="39"/>
      <c r="H58" s="40"/>
      <c r="I58" s="41"/>
    </row>
    <row r="59">
      <c r="G59" s="39"/>
      <c r="H59" s="40"/>
      <c r="I59" s="41"/>
    </row>
    <row r="60">
      <c r="G60" s="39"/>
      <c r="H60" s="40"/>
      <c r="I60" s="41"/>
    </row>
    <row r="61">
      <c r="G61" s="39"/>
      <c r="H61" s="40"/>
      <c r="I61" s="41"/>
    </row>
    <row r="62">
      <c r="G62" s="39"/>
      <c r="H62" s="40"/>
      <c r="I62" s="41"/>
    </row>
    <row r="63">
      <c r="G63" s="39"/>
      <c r="H63" s="40"/>
      <c r="I63" s="41"/>
    </row>
    <row r="64">
      <c r="G64" s="39"/>
      <c r="H64" s="40"/>
      <c r="I64" s="41"/>
    </row>
    <row r="65">
      <c r="G65" s="39"/>
      <c r="H65" s="40"/>
      <c r="I65" s="41"/>
    </row>
    <row r="66">
      <c r="G66" s="39"/>
      <c r="H66" s="40"/>
      <c r="I66" s="41"/>
    </row>
    <row r="67">
      <c r="G67" s="39"/>
      <c r="H67" s="40"/>
      <c r="I67" s="41"/>
    </row>
    <row r="68">
      <c r="G68" s="39"/>
      <c r="H68" s="40"/>
      <c r="I68" s="41"/>
    </row>
    <row r="69">
      <c r="G69" s="39"/>
      <c r="H69" s="40"/>
      <c r="I69" s="41"/>
    </row>
    <row r="70">
      <c r="G70" s="39"/>
      <c r="H70" s="40"/>
      <c r="I70" s="41"/>
    </row>
    <row r="71">
      <c r="G71" s="39"/>
      <c r="H71" s="40"/>
      <c r="I71" s="41"/>
    </row>
    <row r="72">
      <c r="G72" s="39"/>
      <c r="H72" s="40"/>
      <c r="I72" s="41"/>
    </row>
    <row r="73">
      <c r="G73" s="39"/>
      <c r="H73" s="40"/>
      <c r="I73" s="41"/>
    </row>
    <row r="74">
      <c r="G74" s="39"/>
      <c r="H74" s="40"/>
      <c r="I74" s="41"/>
    </row>
    <row r="75">
      <c r="G75" s="39"/>
      <c r="H75" s="40"/>
      <c r="I75" s="41"/>
    </row>
    <row r="76">
      <c r="G76" s="39"/>
      <c r="H76" s="40"/>
      <c r="I76" s="41"/>
    </row>
    <row r="77">
      <c r="G77" s="39"/>
      <c r="H77" s="40"/>
      <c r="I77" s="41"/>
    </row>
    <row r="78">
      <c r="G78" s="39"/>
      <c r="H78" s="40"/>
      <c r="I78" s="41"/>
    </row>
    <row r="79">
      <c r="G79" s="39"/>
      <c r="H79" s="40"/>
      <c r="I79" s="41"/>
    </row>
    <row r="80">
      <c r="G80" s="39"/>
      <c r="H80" s="40"/>
      <c r="I80" s="41"/>
    </row>
    <row r="81">
      <c r="G81" s="39"/>
      <c r="H81" s="40"/>
      <c r="I81" s="41"/>
    </row>
    <row r="82">
      <c r="G82" s="39"/>
      <c r="H82" s="40"/>
      <c r="I82" s="41"/>
    </row>
    <row r="83">
      <c r="G83" s="39"/>
      <c r="H83" s="40"/>
      <c r="I83" s="41"/>
    </row>
    <row r="84">
      <c r="G84" s="39"/>
      <c r="H84" s="40"/>
      <c r="I84" s="41"/>
    </row>
    <row r="85">
      <c r="G85" s="39"/>
      <c r="H85" s="40"/>
      <c r="I85" s="41"/>
    </row>
    <row r="86">
      <c r="G86" s="39"/>
      <c r="H86" s="40"/>
      <c r="I86" s="41"/>
    </row>
    <row r="87">
      <c r="G87" s="39"/>
      <c r="H87" s="40"/>
      <c r="I87" s="41"/>
    </row>
    <row r="88">
      <c r="G88" s="39"/>
      <c r="H88" s="40"/>
      <c r="I88" s="41"/>
    </row>
    <row r="89">
      <c r="G89" s="39"/>
      <c r="H89" s="40"/>
      <c r="I89" s="41"/>
    </row>
    <row r="90">
      <c r="G90" s="39"/>
      <c r="H90" s="40"/>
      <c r="I90" s="41"/>
    </row>
    <row r="91">
      <c r="G91" s="39"/>
      <c r="H91" s="40"/>
      <c r="I91" s="41"/>
    </row>
    <row r="92">
      <c r="G92" s="39"/>
      <c r="H92" s="40"/>
      <c r="I92" s="41"/>
    </row>
    <row r="93">
      <c r="G93" s="39"/>
      <c r="H93" s="40"/>
      <c r="I93" s="41"/>
    </row>
    <row r="94">
      <c r="G94" s="39"/>
      <c r="H94" s="40"/>
      <c r="I94" s="41"/>
    </row>
    <row r="95">
      <c r="G95" s="39"/>
      <c r="H95" s="40"/>
      <c r="I95" s="41"/>
    </row>
    <row r="96">
      <c r="G96" s="39"/>
      <c r="H96" s="40"/>
      <c r="I96" s="41"/>
    </row>
    <row r="97">
      <c r="G97" s="39"/>
      <c r="H97" s="40"/>
      <c r="I97" s="41"/>
    </row>
    <row r="98">
      <c r="G98" s="39"/>
      <c r="H98" s="40"/>
      <c r="I98" s="41"/>
    </row>
    <row r="99">
      <c r="G99" s="39"/>
      <c r="H99" s="40"/>
      <c r="I99" s="41"/>
    </row>
    <row r="100">
      <c r="G100" s="39"/>
      <c r="H100" s="40"/>
      <c r="I100" s="41"/>
    </row>
    <row r="101">
      <c r="G101" s="39"/>
      <c r="H101" s="40"/>
      <c r="I101" s="41"/>
    </row>
    <row r="102">
      <c r="G102" s="39"/>
      <c r="H102" s="40"/>
      <c r="I102" s="41"/>
    </row>
    <row r="103">
      <c r="G103" s="39"/>
      <c r="H103" s="40"/>
      <c r="I103" s="41"/>
    </row>
    <row r="104">
      <c r="G104" s="39"/>
      <c r="H104" s="40"/>
      <c r="I104" s="41"/>
    </row>
    <row r="105">
      <c r="G105" s="39"/>
      <c r="H105" s="40"/>
      <c r="I105" s="41"/>
    </row>
    <row r="106">
      <c r="G106" s="39"/>
      <c r="H106" s="40"/>
      <c r="I106" s="41"/>
    </row>
    <row r="107">
      <c r="G107" s="39"/>
      <c r="H107" s="40"/>
      <c r="I107" s="41"/>
    </row>
    <row r="108">
      <c r="G108" s="39"/>
      <c r="H108" s="40"/>
      <c r="I108" s="41"/>
    </row>
    <row r="109">
      <c r="G109" s="39"/>
      <c r="H109" s="40"/>
      <c r="I109" s="41"/>
    </row>
    <row r="110">
      <c r="G110" s="39"/>
      <c r="H110" s="40"/>
      <c r="I110" s="41"/>
    </row>
    <row r="111">
      <c r="G111" s="39"/>
      <c r="H111" s="40"/>
      <c r="I111" s="41"/>
    </row>
    <row r="112">
      <c r="G112" s="39"/>
      <c r="H112" s="40"/>
      <c r="I112" s="41"/>
    </row>
    <row r="113">
      <c r="G113" s="39"/>
      <c r="H113" s="40"/>
      <c r="I113" s="41"/>
    </row>
    <row r="114">
      <c r="G114" s="39"/>
      <c r="H114" s="40"/>
      <c r="I114" s="41"/>
    </row>
    <row r="115">
      <c r="G115" s="39"/>
      <c r="H115" s="40"/>
      <c r="I115" s="41"/>
    </row>
    <row r="116">
      <c r="G116" s="39"/>
      <c r="H116" s="40"/>
      <c r="I116" s="41"/>
    </row>
    <row r="117">
      <c r="G117" s="39"/>
      <c r="H117" s="40"/>
      <c r="I117" s="41"/>
    </row>
    <row r="118">
      <c r="G118" s="39"/>
      <c r="H118" s="40"/>
      <c r="I118" s="41"/>
    </row>
    <row r="119">
      <c r="G119" s="39"/>
      <c r="H119" s="40"/>
      <c r="I119" s="41"/>
    </row>
    <row r="120">
      <c r="G120" s="39"/>
      <c r="H120" s="40"/>
      <c r="I120" s="41"/>
    </row>
    <row r="121">
      <c r="G121" s="39"/>
      <c r="H121" s="40"/>
      <c r="I121" s="41"/>
    </row>
    <row r="122">
      <c r="G122" s="39"/>
      <c r="H122" s="40"/>
      <c r="I122" s="41"/>
    </row>
    <row r="123">
      <c r="G123" s="39"/>
      <c r="H123" s="40"/>
      <c r="I123" s="41"/>
    </row>
    <row r="124">
      <c r="G124" s="39"/>
      <c r="H124" s="40"/>
      <c r="I124" s="41"/>
    </row>
    <row r="125">
      <c r="G125" s="39"/>
      <c r="H125" s="40"/>
      <c r="I125" s="41"/>
    </row>
    <row r="126">
      <c r="G126" s="39"/>
      <c r="H126" s="40"/>
      <c r="I126" s="41"/>
    </row>
    <row r="127">
      <c r="G127" s="39"/>
      <c r="H127" s="40"/>
      <c r="I127" s="41"/>
    </row>
    <row r="128">
      <c r="G128" s="39"/>
      <c r="H128" s="40"/>
      <c r="I128" s="41"/>
    </row>
    <row r="129">
      <c r="G129" s="39"/>
      <c r="H129" s="40"/>
      <c r="I129" s="41"/>
    </row>
    <row r="130">
      <c r="G130" s="39"/>
      <c r="H130" s="40"/>
      <c r="I130" s="41"/>
    </row>
    <row r="131">
      <c r="G131" s="39"/>
      <c r="H131" s="40"/>
      <c r="I131" s="41"/>
    </row>
    <row r="132">
      <c r="G132" s="39"/>
      <c r="H132" s="40"/>
      <c r="I132" s="41"/>
    </row>
    <row r="133">
      <c r="G133" s="39"/>
      <c r="H133" s="40"/>
      <c r="I133" s="41"/>
    </row>
    <row r="134">
      <c r="G134" s="39"/>
      <c r="H134" s="40"/>
      <c r="I134" s="41"/>
    </row>
    <row r="135">
      <c r="G135" s="39"/>
      <c r="H135" s="40"/>
      <c r="I135" s="41"/>
    </row>
    <row r="136">
      <c r="G136" s="39"/>
      <c r="H136" s="40"/>
      <c r="I136" s="41"/>
    </row>
    <row r="137">
      <c r="G137" s="39"/>
      <c r="H137" s="40"/>
      <c r="I137" s="41"/>
    </row>
    <row r="138">
      <c r="G138" s="39"/>
      <c r="H138" s="40"/>
      <c r="I138" s="41"/>
    </row>
    <row r="139">
      <c r="G139" s="39"/>
      <c r="H139" s="40"/>
      <c r="I139" s="41"/>
    </row>
    <row r="140">
      <c r="G140" s="39"/>
      <c r="H140" s="40"/>
      <c r="I140" s="41"/>
    </row>
    <row r="141">
      <c r="G141" s="39"/>
      <c r="H141" s="40"/>
      <c r="I141" s="41"/>
    </row>
    <row r="142">
      <c r="G142" s="39"/>
      <c r="H142" s="40"/>
      <c r="I142" s="41"/>
    </row>
    <row r="143">
      <c r="G143" s="39"/>
      <c r="H143" s="40"/>
      <c r="I143" s="41"/>
    </row>
    <row r="144">
      <c r="G144" s="39"/>
      <c r="H144" s="40"/>
      <c r="I144" s="41"/>
    </row>
    <row r="145">
      <c r="G145" s="39"/>
      <c r="H145" s="40"/>
      <c r="I145" s="41"/>
    </row>
    <row r="146">
      <c r="G146" s="39"/>
      <c r="H146" s="40"/>
      <c r="I146" s="41"/>
    </row>
    <row r="147">
      <c r="G147" s="39"/>
      <c r="H147" s="40"/>
      <c r="I147" s="41"/>
    </row>
    <row r="148">
      <c r="G148" s="39"/>
      <c r="H148" s="40"/>
      <c r="I148" s="41"/>
    </row>
    <row r="149">
      <c r="G149" s="39"/>
      <c r="H149" s="40"/>
      <c r="I149" s="41"/>
    </row>
    <row r="150">
      <c r="G150" s="39"/>
      <c r="H150" s="40"/>
      <c r="I150" s="41"/>
    </row>
    <row r="151">
      <c r="G151" s="39"/>
      <c r="H151" s="40"/>
      <c r="I151" s="41"/>
    </row>
    <row r="152">
      <c r="G152" s="39"/>
      <c r="H152" s="40"/>
      <c r="I152" s="41"/>
    </row>
    <row r="153">
      <c r="G153" s="39"/>
      <c r="H153" s="40"/>
      <c r="I153" s="41"/>
    </row>
    <row r="154">
      <c r="G154" s="39"/>
      <c r="H154" s="40"/>
      <c r="I154" s="41"/>
    </row>
    <row r="155">
      <c r="G155" s="39"/>
      <c r="H155" s="40"/>
      <c r="I155" s="41"/>
    </row>
    <row r="156">
      <c r="G156" s="39"/>
      <c r="H156" s="40"/>
      <c r="I156" s="41"/>
    </row>
    <row r="157">
      <c r="G157" s="39"/>
      <c r="H157" s="40"/>
      <c r="I157" s="41"/>
    </row>
    <row r="158">
      <c r="G158" s="39"/>
      <c r="H158" s="40"/>
      <c r="I158" s="41"/>
    </row>
    <row r="159">
      <c r="G159" s="39"/>
      <c r="H159" s="40"/>
      <c r="I159" s="41"/>
    </row>
    <row r="160">
      <c r="G160" s="39"/>
      <c r="H160" s="40"/>
      <c r="I160" s="41"/>
    </row>
    <row r="161">
      <c r="G161" s="39"/>
      <c r="H161" s="40"/>
      <c r="I161" s="41"/>
    </row>
    <row r="162">
      <c r="G162" s="39"/>
      <c r="H162" s="40"/>
      <c r="I162" s="41"/>
    </row>
    <row r="163">
      <c r="G163" s="39"/>
      <c r="H163" s="40"/>
      <c r="I163" s="41"/>
    </row>
    <row r="164">
      <c r="G164" s="39"/>
      <c r="H164" s="40"/>
      <c r="I164" s="41"/>
    </row>
    <row r="165">
      <c r="G165" s="39"/>
      <c r="H165" s="40"/>
      <c r="I165" s="41"/>
    </row>
    <row r="166">
      <c r="G166" s="39"/>
      <c r="H166" s="40"/>
      <c r="I166" s="41"/>
    </row>
    <row r="167">
      <c r="G167" s="39"/>
      <c r="H167" s="40"/>
      <c r="I167" s="41"/>
    </row>
    <row r="168">
      <c r="G168" s="39"/>
      <c r="H168" s="40"/>
      <c r="I168" s="41"/>
    </row>
    <row r="169">
      <c r="G169" s="39"/>
      <c r="H169" s="40"/>
      <c r="I169" s="41"/>
    </row>
    <row r="170">
      <c r="G170" s="39"/>
      <c r="H170" s="40"/>
      <c r="I170" s="41"/>
    </row>
    <row r="171">
      <c r="G171" s="39"/>
      <c r="H171" s="40"/>
      <c r="I171" s="41"/>
    </row>
    <row r="172">
      <c r="G172" s="39"/>
      <c r="H172" s="40"/>
      <c r="I172" s="41"/>
    </row>
    <row r="173">
      <c r="G173" s="39"/>
      <c r="H173" s="40"/>
      <c r="I173" s="41"/>
    </row>
    <row r="174">
      <c r="G174" s="39"/>
      <c r="H174" s="40"/>
      <c r="I174" s="41"/>
    </row>
    <row r="175">
      <c r="G175" s="39"/>
      <c r="H175" s="40"/>
      <c r="I175" s="41"/>
    </row>
    <row r="176">
      <c r="G176" s="39"/>
      <c r="H176" s="40"/>
      <c r="I176" s="41"/>
    </row>
    <row r="177">
      <c r="G177" s="39"/>
      <c r="H177" s="40"/>
      <c r="I177" s="41"/>
    </row>
    <row r="178">
      <c r="G178" s="39"/>
      <c r="H178" s="40"/>
      <c r="I178" s="41"/>
    </row>
    <row r="179">
      <c r="G179" s="39"/>
      <c r="H179" s="40"/>
      <c r="I179" s="41"/>
    </row>
    <row r="180">
      <c r="G180" s="39"/>
      <c r="H180" s="40"/>
      <c r="I180" s="41"/>
    </row>
    <row r="181">
      <c r="G181" s="39"/>
      <c r="H181" s="40"/>
      <c r="I181" s="41"/>
    </row>
    <row r="182">
      <c r="G182" s="39"/>
      <c r="H182" s="40"/>
      <c r="I182" s="41"/>
    </row>
    <row r="183">
      <c r="G183" s="39"/>
      <c r="H183" s="40"/>
      <c r="I183" s="41"/>
    </row>
    <row r="184">
      <c r="G184" s="39"/>
      <c r="H184" s="40"/>
      <c r="I184" s="41"/>
    </row>
    <row r="185">
      <c r="G185" s="39"/>
      <c r="H185" s="40"/>
      <c r="I185" s="41"/>
    </row>
    <row r="186">
      <c r="G186" s="39"/>
      <c r="H186" s="40"/>
      <c r="I186" s="41"/>
    </row>
    <row r="187">
      <c r="G187" s="39"/>
      <c r="H187" s="40"/>
      <c r="I187" s="41"/>
    </row>
    <row r="188">
      <c r="G188" s="39"/>
      <c r="H188" s="40"/>
      <c r="I188" s="41"/>
    </row>
    <row r="189">
      <c r="G189" s="39"/>
      <c r="H189" s="40"/>
      <c r="I189" s="41"/>
    </row>
    <row r="190">
      <c r="G190" s="39"/>
      <c r="H190" s="40"/>
      <c r="I190" s="41"/>
    </row>
    <row r="191">
      <c r="G191" s="39"/>
      <c r="H191" s="40"/>
      <c r="I191" s="41"/>
    </row>
    <row r="192">
      <c r="G192" s="39"/>
      <c r="H192" s="40"/>
      <c r="I192" s="41"/>
    </row>
    <row r="193">
      <c r="G193" s="39"/>
      <c r="H193" s="40"/>
      <c r="I193" s="41"/>
    </row>
    <row r="194">
      <c r="G194" s="39"/>
      <c r="H194" s="40"/>
      <c r="I194" s="41"/>
    </row>
    <row r="195">
      <c r="G195" s="39"/>
      <c r="H195" s="40"/>
      <c r="I195" s="41"/>
    </row>
    <row r="196">
      <c r="G196" s="39"/>
      <c r="H196" s="40"/>
      <c r="I196" s="41"/>
    </row>
    <row r="197">
      <c r="G197" s="39"/>
      <c r="H197" s="40"/>
      <c r="I197" s="41"/>
    </row>
    <row r="198">
      <c r="G198" s="39"/>
      <c r="H198" s="40"/>
      <c r="I198" s="41"/>
    </row>
    <row r="199">
      <c r="G199" s="39"/>
      <c r="H199" s="40"/>
      <c r="I199" s="41"/>
    </row>
    <row r="200">
      <c r="G200" s="39"/>
      <c r="H200" s="40"/>
      <c r="I200" s="41"/>
    </row>
    <row r="201">
      <c r="G201" s="39"/>
      <c r="H201" s="40"/>
      <c r="I201" s="41"/>
    </row>
    <row r="202">
      <c r="G202" s="39"/>
      <c r="H202" s="40"/>
      <c r="I202" s="41"/>
    </row>
    <row r="203">
      <c r="G203" s="39"/>
      <c r="H203" s="40"/>
      <c r="I203" s="41"/>
    </row>
    <row r="204">
      <c r="G204" s="39"/>
      <c r="H204" s="40"/>
      <c r="I204" s="41"/>
    </row>
    <row r="205">
      <c r="G205" s="39"/>
      <c r="H205" s="40"/>
      <c r="I205" s="41"/>
    </row>
    <row r="206">
      <c r="G206" s="39"/>
      <c r="H206" s="40"/>
      <c r="I206" s="41"/>
    </row>
    <row r="207">
      <c r="G207" s="39"/>
      <c r="H207" s="40"/>
      <c r="I207" s="41"/>
    </row>
    <row r="208">
      <c r="G208" s="39"/>
      <c r="H208" s="40"/>
      <c r="I208" s="41"/>
    </row>
    <row r="209">
      <c r="G209" s="39"/>
      <c r="H209" s="40"/>
      <c r="I209" s="41"/>
    </row>
    <row r="210">
      <c r="G210" s="39"/>
      <c r="H210" s="40"/>
      <c r="I210" s="41"/>
    </row>
    <row r="211">
      <c r="G211" s="39"/>
      <c r="H211" s="40"/>
      <c r="I211" s="41"/>
    </row>
    <row r="212">
      <c r="G212" s="39"/>
      <c r="H212" s="40"/>
      <c r="I212" s="41"/>
    </row>
    <row r="213">
      <c r="G213" s="39"/>
      <c r="H213" s="40"/>
      <c r="I213" s="41"/>
    </row>
    <row r="214">
      <c r="G214" s="39"/>
      <c r="H214" s="40"/>
      <c r="I214" s="41"/>
    </row>
    <row r="215">
      <c r="G215" s="39"/>
      <c r="H215" s="40"/>
      <c r="I215" s="41"/>
    </row>
    <row r="216">
      <c r="G216" s="39"/>
      <c r="H216" s="40"/>
      <c r="I216" s="41"/>
    </row>
    <row r="217">
      <c r="G217" s="39"/>
      <c r="H217" s="40"/>
      <c r="I217" s="41"/>
    </row>
    <row r="218">
      <c r="G218" s="39"/>
      <c r="H218" s="40"/>
      <c r="I218" s="41"/>
    </row>
    <row r="219">
      <c r="G219" s="39"/>
      <c r="H219" s="40"/>
      <c r="I219" s="41"/>
    </row>
    <row r="220">
      <c r="G220" s="39"/>
      <c r="H220" s="40"/>
      <c r="I220" s="41"/>
    </row>
    <row r="221">
      <c r="G221" s="39"/>
      <c r="H221" s="40"/>
      <c r="I221" s="41"/>
    </row>
    <row r="222">
      <c r="G222" s="39"/>
      <c r="H222" s="40"/>
      <c r="I222" s="41"/>
    </row>
    <row r="223">
      <c r="G223" s="39"/>
      <c r="H223" s="40"/>
      <c r="I223" s="41"/>
    </row>
    <row r="224">
      <c r="G224" s="39"/>
      <c r="H224" s="40"/>
      <c r="I224" s="41"/>
    </row>
    <row r="225">
      <c r="G225" s="39"/>
      <c r="H225" s="40"/>
      <c r="I225" s="41"/>
    </row>
    <row r="226">
      <c r="G226" s="39"/>
      <c r="H226" s="40"/>
      <c r="I226" s="41"/>
    </row>
    <row r="227">
      <c r="G227" s="39"/>
      <c r="H227" s="40"/>
      <c r="I227" s="41"/>
    </row>
    <row r="228">
      <c r="G228" s="39"/>
      <c r="H228" s="40"/>
      <c r="I228" s="41"/>
    </row>
    <row r="229">
      <c r="G229" s="39"/>
      <c r="H229" s="40"/>
      <c r="I229" s="41"/>
    </row>
    <row r="230">
      <c r="G230" s="39"/>
      <c r="H230" s="40"/>
      <c r="I230" s="41"/>
    </row>
    <row r="231">
      <c r="G231" s="39"/>
      <c r="H231" s="40"/>
      <c r="I231" s="41"/>
    </row>
    <row r="232">
      <c r="G232" s="39"/>
      <c r="H232" s="40"/>
      <c r="I232" s="41"/>
    </row>
    <row r="233">
      <c r="G233" s="39"/>
      <c r="H233" s="40"/>
      <c r="I233" s="41"/>
    </row>
    <row r="234">
      <c r="G234" s="39"/>
      <c r="H234" s="40"/>
      <c r="I234" s="41"/>
    </row>
    <row r="235">
      <c r="G235" s="39"/>
      <c r="H235" s="40"/>
      <c r="I235" s="41"/>
    </row>
    <row r="236">
      <c r="G236" s="39"/>
      <c r="H236" s="40"/>
      <c r="I236" s="41"/>
    </row>
    <row r="237">
      <c r="G237" s="39"/>
      <c r="H237" s="40"/>
      <c r="I237" s="41"/>
    </row>
    <row r="238">
      <c r="G238" s="39"/>
      <c r="H238" s="40"/>
      <c r="I238" s="41"/>
    </row>
    <row r="239">
      <c r="G239" s="39"/>
      <c r="H239" s="40"/>
      <c r="I239" s="41"/>
    </row>
    <row r="240">
      <c r="G240" s="39"/>
      <c r="H240" s="40"/>
      <c r="I240" s="41"/>
    </row>
    <row r="241">
      <c r="G241" s="39"/>
      <c r="H241" s="40"/>
      <c r="I241" s="41"/>
    </row>
    <row r="242">
      <c r="G242" s="39"/>
      <c r="H242" s="40"/>
      <c r="I242" s="41"/>
    </row>
    <row r="243">
      <c r="G243" s="39"/>
      <c r="H243" s="40"/>
      <c r="I243" s="41"/>
    </row>
    <row r="244">
      <c r="G244" s="39"/>
      <c r="H244" s="40"/>
      <c r="I244" s="41"/>
    </row>
    <row r="245">
      <c r="G245" s="39"/>
      <c r="H245" s="40"/>
      <c r="I245" s="41"/>
    </row>
    <row r="246">
      <c r="G246" s="39"/>
      <c r="H246" s="40"/>
      <c r="I246" s="41"/>
    </row>
    <row r="247">
      <c r="G247" s="39"/>
      <c r="H247" s="40"/>
      <c r="I247" s="41"/>
    </row>
    <row r="248">
      <c r="G248" s="39"/>
      <c r="H248" s="40"/>
      <c r="I248" s="41"/>
    </row>
    <row r="249">
      <c r="G249" s="39"/>
      <c r="H249" s="40"/>
      <c r="I249" s="41"/>
    </row>
    <row r="250">
      <c r="G250" s="39"/>
      <c r="H250" s="40"/>
      <c r="I250" s="41"/>
    </row>
    <row r="251">
      <c r="G251" s="39"/>
      <c r="H251" s="40"/>
      <c r="I251" s="41"/>
    </row>
    <row r="252">
      <c r="G252" s="39"/>
      <c r="H252" s="40"/>
      <c r="I252" s="41"/>
    </row>
    <row r="253">
      <c r="G253" s="39"/>
      <c r="H253" s="40"/>
      <c r="I253" s="41"/>
    </row>
    <row r="254">
      <c r="G254" s="39"/>
      <c r="H254" s="40"/>
      <c r="I254" s="41"/>
    </row>
    <row r="255">
      <c r="G255" s="39"/>
      <c r="H255" s="40"/>
      <c r="I255" s="41"/>
    </row>
    <row r="256">
      <c r="G256" s="39"/>
      <c r="H256" s="40"/>
      <c r="I256" s="41"/>
    </row>
    <row r="257">
      <c r="G257" s="39"/>
      <c r="H257" s="40"/>
      <c r="I257" s="41"/>
    </row>
    <row r="258">
      <c r="G258" s="39"/>
      <c r="H258" s="40"/>
      <c r="I258" s="41"/>
    </row>
    <row r="259">
      <c r="G259" s="39"/>
      <c r="H259" s="40"/>
      <c r="I259" s="41"/>
    </row>
    <row r="260">
      <c r="G260" s="39"/>
      <c r="H260" s="40"/>
      <c r="I260" s="41"/>
    </row>
    <row r="261">
      <c r="G261" s="39"/>
      <c r="H261" s="40"/>
      <c r="I261" s="41"/>
    </row>
    <row r="262">
      <c r="G262" s="39"/>
      <c r="H262" s="40"/>
      <c r="I262" s="41"/>
    </row>
    <row r="263">
      <c r="G263" s="39"/>
      <c r="H263" s="40"/>
      <c r="I263" s="41"/>
    </row>
    <row r="264">
      <c r="G264" s="39"/>
      <c r="H264" s="40"/>
      <c r="I264" s="41"/>
    </row>
    <row r="265">
      <c r="G265" s="39"/>
      <c r="H265" s="40"/>
      <c r="I265" s="41"/>
    </row>
    <row r="266">
      <c r="G266" s="39"/>
      <c r="H266" s="40"/>
      <c r="I266" s="41"/>
    </row>
    <row r="267">
      <c r="G267" s="39"/>
      <c r="H267" s="40"/>
      <c r="I267" s="41"/>
    </row>
    <row r="268">
      <c r="G268" s="39"/>
      <c r="H268" s="40"/>
      <c r="I268" s="41"/>
    </row>
    <row r="269">
      <c r="G269" s="39"/>
      <c r="H269" s="40"/>
      <c r="I269" s="41"/>
    </row>
    <row r="270">
      <c r="G270" s="39"/>
      <c r="H270" s="40"/>
      <c r="I270" s="41"/>
    </row>
    <row r="271">
      <c r="G271" s="39"/>
      <c r="H271" s="40"/>
      <c r="I271" s="41"/>
    </row>
    <row r="272">
      <c r="G272" s="39"/>
      <c r="H272" s="40"/>
      <c r="I272" s="41"/>
    </row>
    <row r="273">
      <c r="G273" s="39"/>
      <c r="H273" s="40"/>
      <c r="I273" s="41"/>
    </row>
    <row r="274">
      <c r="G274" s="39"/>
      <c r="H274" s="40"/>
      <c r="I274" s="41"/>
    </row>
    <row r="275">
      <c r="G275" s="39"/>
      <c r="H275" s="40"/>
      <c r="I275" s="41"/>
    </row>
    <row r="276">
      <c r="G276" s="39"/>
      <c r="H276" s="40"/>
      <c r="I276" s="41"/>
    </row>
    <row r="277">
      <c r="G277" s="39"/>
      <c r="H277" s="40"/>
      <c r="I277" s="41"/>
    </row>
    <row r="278">
      <c r="G278" s="39"/>
      <c r="H278" s="40"/>
      <c r="I278" s="41"/>
    </row>
    <row r="279">
      <c r="G279" s="39"/>
      <c r="H279" s="40"/>
      <c r="I279" s="41"/>
    </row>
    <row r="280">
      <c r="G280" s="39"/>
      <c r="H280" s="40"/>
      <c r="I280" s="41"/>
    </row>
    <row r="281">
      <c r="G281" s="39"/>
      <c r="H281" s="40"/>
      <c r="I281" s="41"/>
    </row>
    <row r="282">
      <c r="G282" s="39"/>
      <c r="H282" s="40"/>
      <c r="I282" s="41"/>
    </row>
    <row r="283">
      <c r="G283" s="39"/>
      <c r="H283" s="40"/>
      <c r="I283" s="41"/>
    </row>
    <row r="284">
      <c r="G284" s="39"/>
      <c r="H284" s="40"/>
      <c r="I284" s="41"/>
    </row>
    <row r="285">
      <c r="G285" s="39"/>
      <c r="H285" s="40"/>
      <c r="I285" s="41"/>
    </row>
    <row r="286">
      <c r="G286" s="39"/>
      <c r="H286" s="40"/>
      <c r="I286" s="41"/>
    </row>
    <row r="287">
      <c r="G287" s="39"/>
      <c r="H287" s="40"/>
      <c r="I287" s="41"/>
    </row>
    <row r="288">
      <c r="G288" s="39"/>
      <c r="H288" s="40"/>
      <c r="I288" s="41"/>
    </row>
    <row r="289">
      <c r="G289" s="39"/>
      <c r="H289" s="40"/>
      <c r="I289" s="41"/>
    </row>
    <row r="290">
      <c r="G290" s="39"/>
      <c r="H290" s="40"/>
      <c r="I290" s="41"/>
    </row>
    <row r="291">
      <c r="G291" s="39"/>
      <c r="H291" s="40"/>
      <c r="I291" s="41"/>
    </row>
    <row r="292">
      <c r="G292" s="39"/>
      <c r="H292" s="40"/>
      <c r="I292" s="41"/>
    </row>
    <row r="293">
      <c r="G293" s="39"/>
      <c r="H293" s="40"/>
      <c r="I293" s="41"/>
    </row>
    <row r="294">
      <c r="G294" s="39"/>
      <c r="H294" s="40"/>
      <c r="I294" s="41"/>
    </row>
    <row r="295">
      <c r="G295" s="39"/>
      <c r="H295" s="40"/>
      <c r="I295" s="41"/>
    </row>
    <row r="296">
      <c r="G296" s="39"/>
      <c r="H296" s="40"/>
      <c r="I296" s="41"/>
    </row>
    <row r="297">
      <c r="G297" s="39"/>
      <c r="H297" s="40"/>
      <c r="I297" s="41"/>
    </row>
    <row r="298">
      <c r="G298" s="39"/>
      <c r="H298" s="40"/>
      <c r="I298" s="41"/>
    </row>
    <row r="299">
      <c r="G299" s="39"/>
      <c r="H299" s="40"/>
      <c r="I299" s="41"/>
    </row>
    <row r="300">
      <c r="G300" s="39"/>
      <c r="H300" s="40"/>
      <c r="I300" s="41"/>
    </row>
    <row r="301">
      <c r="G301" s="39"/>
      <c r="H301" s="40"/>
      <c r="I301" s="41"/>
    </row>
    <row r="302">
      <c r="G302" s="39"/>
      <c r="H302" s="40"/>
      <c r="I302" s="41"/>
    </row>
    <row r="303">
      <c r="G303" s="39"/>
      <c r="H303" s="40"/>
      <c r="I303" s="41"/>
    </row>
    <row r="304">
      <c r="G304" s="39"/>
      <c r="H304" s="40"/>
      <c r="I304" s="41"/>
    </row>
    <row r="305">
      <c r="G305" s="39"/>
      <c r="H305" s="40"/>
      <c r="I305" s="41"/>
    </row>
    <row r="306">
      <c r="G306" s="39"/>
      <c r="H306" s="40"/>
      <c r="I306" s="41"/>
    </row>
    <row r="307">
      <c r="G307" s="39"/>
      <c r="H307" s="40"/>
      <c r="I307" s="41"/>
    </row>
    <row r="308">
      <c r="G308" s="39"/>
      <c r="H308" s="40"/>
      <c r="I308" s="41"/>
    </row>
    <row r="309">
      <c r="G309" s="39"/>
      <c r="H309" s="40"/>
      <c r="I309" s="41"/>
    </row>
    <row r="310">
      <c r="G310" s="39"/>
      <c r="H310" s="40"/>
      <c r="I310" s="41"/>
    </row>
    <row r="311">
      <c r="G311" s="39"/>
      <c r="H311" s="40"/>
      <c r="I311" s="41"/>
    </row>
    <row r="312">
      <c r="G312" s="39"/>
      <c r="H312" s="40"/>
      <c r="I312" s="41"/>
    </row>
    <row r="313">
      <c r="G313" s="39"/>
      <c r="H313" s="40"/>
      <c r="I313" s="41"/>
    </row>
    <row r="314">
      <c r="G314" s="39"/>
      <c r="H314" s="40"/>
      <c r="I314" s="41"/>
    </row>
    <row r="315">
      <c r="G315" s="39"/>
      <c r="H315" s="40"/>
      <c r="I315" s="41"/>
    </row>
    <row r="316">
      <c r="G316" s="39"/>
      <c r="H316" s="40"/>
      <c r="I316" s="41"/>
    </row>
    <row r="317">
      <c r="G317" s="39"/>
      <c r="H317" s="40"/>
      <c r="I317" s="41"/>
    </row>
    <row r="318">
      <c r="G318" s="39"/>
      <c r="H318" s="40"/>
      <c r="I318" s="41"/>
    </row>
    <row r="319">
      <c r="G319" s="39"/>
      <c r="H319" s="40"/>
      <c r="I319" s="41"/>
    </row>
    <row r="320">
      <c r="G320" s="39"/>
      <c r="H320" s="40"/>
      <c r="I320" s="41"/>
    </row>
    <row r="321">
      <c r="G321" s="39"/>
      <c r="H321" s="40"/>
      <c r="I321" s="41"/>
    </row>
    <row r="322">
      <c r="G322" s="39"/>
      <c r="H322" s="40"/>
      <c r="I322" s="41"/>
    </row>
    <row r="323">
      <c r="G323" s="39"/>
      <c r="H323" s="40"/>
      <c r="I323" s="41"/>
    </row>
    <row r="324">
      <c r="G324" s="39"/>
      <c r="H324" s="40"/>
      <c r="I324" s="41"/>
    </row>
    <row r="325">
      <c r="G325" s="39"/>
      <c r="H325" s="40"/>
      <c r="I325" s="41"/>
    </row>
    <row r="326">
      <c r="G326" s="39"/>
      <c r="H326" s="40"/>
      <c r="I326" s="41"/>
    </row>
    <row r="327">
      <c r="G327" s="39"/>
      <c r="H327" s="40"/>
      <c r="I327" s="41"/>
    </row>
    <row r="328">
      <c r="G328" s="39"/>
      <c r="H328" s="40"/>
      <c r="I328" s="41"/>
    </row>
    <row r="329">
      <c r="G329" s="39"/>
      <c r="H329" s="40"/>
      <c r="I329" s="41"/>
    </row>
    <row r="330">
      <c r="G330" s="39"/>
      <c r="H330" s="40"/>
      <c r="I330" s="41"/>
    </row>
    <row r="331">
      <c r="G331" s="39"/>
      <c r="H331" s="40"/>
      <c r="I331" s="41"/>
    </row>
    <row r="332">
      <c r="G332" s="39"/>
      <c r="H332" s="40"/>
      <c r="I332" s="41"/>
    </row>
    <row r="333">
      <c r="G333" s="39"/>
      <c r="H333" s="40"/>
      <c r="I333" s="41"/>
    </row>
    <row r="334">
      <c r="G334" s="39"/>
      <c r="H334" s="40"/>
      <c r="I334" s="41"/>
    </row>
    <row r="335">
      <c r="G335" s="39"/>
      <c r="H335" s="40"/>
      <c r="I335" s="41"/>
    </row>
    <row r="336">
      <c r="G336" s="39"/>
      <c r="H336" s="40"/>
      <c r="I336" s="41"/>
    </row>
    <row r="337">
      <c r="G337" s="39"/>
      <c r="H337" s="40"/>
      <c r="I337" s="41"/>
    </row>
    <row r="338">
      <c r="G338" s="39"/>
      <c r="H338" s="40"/>
      <c r="I338" s="41"/>
    </row>
    <row r="339">
      <c r="G339" s="39"/>
      <c r="H339" s="40"/>
      <c r="I339" s="41"/>
    </row>
    <row r="340">
      <c r="G340" s="39"/>
      <c r="H340" s="40"/>
      <c r="I340" s="41"/>
    </row>
    <row r="341">
      <c r="G341" s="39"/>
      <c r="H341" s="40"/>
      <c r="I341" s="41"/>
    </row>
    <row r="342">
      <c r="G342" s="39"/>
      <c r="H342" s="40"/>
      <c r="I342" s="41"/>
    </row>
    <row r="343">
      <c r="G343" s="39"/>
      <c r="H343" s="40"/>
      <c r="I343" s="41"/>
    </row>
    <row r="344">
      <c r="G344" s="39"/>
      <c r="H344" s="40"/>
      <c r="I344" s="41"/>
    </row>
    <row r="345">
      <c r="G345" s="39"/>
      <c r="H345" s="40"/>
      <c r="I345" s="41"/>
    </row>
    <row r="346">
      <c r="G346" s="39"/>
      <c r="H346" s="40"/>
      <c r="I346" s="41"/>
    </row>
    <row r="347">
      <c r="G347" s="39"/>
      <c r="H347" s="40"/>
      <c r="I347" s="41"/>
    </row>
    <row r="348">
      <c r="G348" s="39"/>
      <c r="H348" s="40"/>
      <c r="I348" s="41"/>
    </row>
    <row r="349">
      <c r="G349" s="39"/>
      <c r="H349" s="40"/>
      <c r="I349" s="41"/>
    </row>
    <row r="350">
      <c r="G350" s="39"/>
      <c r="H350" s="40"/>
      <c r="I350" s="41"/>
    </row>
    <row r="351">
      <c r="G351" s="39"/>
      <c r="H351" s="40"/>
      <c r="I351" s="41"/>
    </row>
    <row r="352">
      <c r="G352" s="39"/>
      <c r="H352" s="40"/>
      <c r="I352" s="41"/>
    </row>
    <row r="353">
      <c r="G353" s="39"/>
      <c r="H353" s="40"/>
      <c r="I353" s="41"/>
    </row>
    <row r="354">
      <c r="G354" s="39"/>
      <c r="H354" s="40"/>
      <c r="I354" s="41"/>
    </row>
    <row r="355">
      <c r="G355" s="39"/>
      <c r="H355" s="40"/>
      <c r="I355" s="41"/>
    </row>
    <row r="356">
      <c r="G356" s="39"/>
      <c r="H356" s="40"/>
      <c r="I356" s="41"/>
    </row>
    <row r="357">
      <c r="G357" s="39"/>
      <c r="H357" s="40"/>
      <c r="I357" s="41"/>
    </row>
    <row r="358">
      <c r="G358" s="39"/>
      <c r="H358" s="40"/>
      <c r="I358" s="41"/>
    </row>
    <row r="359">
      <c r="G359" s="39"/>
      <c r="H359" s="40"/>
      <c r="I359" s="41"/>
    </row>
    <row r="360">
      <c r="G360" s="39"/>
      <c r="H360" s="40"/>
      <c r="I360" s="41"/>
    </row>
    <row r="361">
      <c r="G361" s="39"/>
      <c r="H361" s="40"/>
      <c r="I361" s="41"/>
    </row>
    <row r="362">
      <c r="G362" s="39"/>
      <c r="H362" s="40"/>
      <c r="I362" s="41"/>
    </row>
    <row r="363">
      <c r="G363" s="39"/>
      <c r="H363" s="40"/>
      <c r="I363" s="41"/>
    </row>
    <row r="364">
      <c r="G364" s="39"/>
      <c r="H364" s="40"/>
      <c r="I364" s="41"/>
    </row>
    <row r="365">
      <c r="G365" s="39"/>
      <c r="H365" s="40"/>
      <c r="I365" s="41"/>
    </row>
    <row r="366">
      <c r="G366" s="39"/>
      <c r="H366" s="40"/>
      <c r="I366" s="41"/>
    </row>
    <row r="367">
      <c r="G367" s="39"/>
      <c r="H367" s="40"/>
      <c r="I367" s="41"/>
    </row>
    <row r="368">
      <c r="G368" s="39"/>
      <c r="H368" s="40"/>
      <c r="I368" s="41"/>
    </row>
    <row r="369">
      <c r="G369" s="39"/>
      <c r="H369" s="40"/>
      <c r="I369" s="41"/>
    </row>
    <row r="370">
      <c r="G370" s="39"/>
      <c r="H370" s="40"/>
      <c r="I370" s="41"/>
    </row>
    <row r="371">
      <c r="G371" s="39"/>
      <c r="H371" s="40"/>
      <c r="I371" s="41"/>
    </row>
    <row r="372">
      <c r="G372" s="39"/>
      <c r="H372" s="40"/>
      <c r="I372" s="41"/>
    </row>
    <row r="373">
      <c r="G373" s="39"/>
      <c r="H373" s="40"/>
      <c r="I373" s="41"/>
    </row>
    <row r="374">
      <c r="G374" s="39"/>
      <c r="H374" s="40"/>
      <c r="I374" s="41"/>
    </row>
    <row r="375">
      <c r="G375" s="39"/>
      <c r="H375" s="40"/>
      <c r="I375" s="41"/>
    </row>
    <row r="376">
      <c r="G376" s="39"/>
      <c r="H376" s="40"/>
      <c r="I376" s="41"/>
    </row>
    <row r="377">
      <c r="G377" s="39"/>
      <c r="H377" s="40"/>
      <c r="I377" s="41"/>
    </row>
    <row r="378">
      <c r="G378" s="39"/>
      <c r="H378" s="40"/>
      <c r="I378" s="41"/>
    </row>
    <row r="379">
      <c r="G379" s="39"/>
      <c r="H379" s="40"/>
      <c r="I379" s="41"/>
    </row>
    <row r="380">
      <c r="G380" s="39"/>
      <c r="H380" s="40"/>
      <c r="I380" s="41"/>
    </row>
    <row r="381">
      <c r="G381" s="39"/>
      <c r="H381" s="40"/>
      <c r="I381" s="41"/>
    </row>
    <row r="382">
      <c r="G382" s="39"/>
      <c r="H382" s="40"/>
      <c r="I382" s="41"/>
    </row>
    <row r="383">
      <c r="G383" s="39"/>
      <c r="H383" s="40"/>
      <c r="I383" s="41"/>
    </row>
    <row r="384">
      <c r="G384" s="39"/>
      <c r="H384" s="40"/>
      <c r="I384" s="41"/>
    </row>
    <row r="385">
      <c r="G385" s="39"/>
      <c r="H385" s="40"/>
      <c r="I385" s="41"/>
    </row>
    <row r="386">
      <c r="G386" s="39"/>
      <c r="H386" s="40"/>
      <c r="I386" s="41"/>
    </row>
    <row r="387">
      <c r="G387" s="39"/>
      <c r="H387" s="40"/>
      <c r="I387" s="41"/>
    </row>
    <row r="388">
      <c r="G388" s="39"/>
      <c r="H388" s="40"/>
      <c r="I388" s="41"/>
    </row>
    <row r="389">
      <c r="G389" s="39"/>
      <c r="H389" s="40"/>
      <c r="I389" s="41"/>
    </row>
    <row r="390">
      <c r="G390" s="39"/>
      <c r="H390" s="40"/>
      <c r="I390" s="41"/>
    </row>
    <row r="391">
      <c r="G391" s="39"/>
      <c r="H391" s="40"/>
      <c r="I391" s="41"/>
    </row>
    <row r="392">
      <c r="G392" s="39"/>
      <c r="H392" s="40"/>
      <c r="I392" s="41"/>
    </row>
    <row r="393">
      <c r="G393" s="39"/>
      <c r="H393" s="40"/>
      <c r="I393" s="41"/>
    </row>
    <row r="394">
      <c r="G394" s="39"/>
      <c r="H394" s="40"/>
      <c r="I394" s="41"/>
    </row>
    <row r="395">
      <c r="G395" s="39"/>
      <c r="H395" s="40"/>
      <c r="I395" s="41"/>
    </row>
    <row r="396">
      <c r="G396" s="39"/>
      <c r="H396" s="40"/>
      <c r="I396" s="41"/>
    </row>
    <row r="397">
      <c r="G397" s="39"/>
      <c r="H397" s="40"/>
      <c r="I397" s="41"/>
    </row>
    <row r="398">
      <c r="G398" s="39"/>
      <c r="H398" s="40"/>
      <c r="I398" s="41"/>
    </row>
    <row r="399">
      <c r="G399" s="39"/>
      <c r="H399" s="40"/>
      <c r="I399" s="41"/>
    </row>
    <row r="400">
      <c r="G400" s="39"/>
      <c r="H400" s="40"/>
      <c r="I400" s="41"/>
    </row>
    <row r="401">
      <c r="G401" s="39"/>
      <c r="H401" s="40"/>
      <c r="I401" s="41"/>
    </row>
    <row r="402">
      <c r="G402" s="39"/>
      <c r="H402" s="40"/>
      <c r="I402" s="41"/>
    </row>
    <row r="403">
      <c r="G403" s="39"/>
      <c r="H403" s="40"/>
      <c r="I403" s="41"/>
    </row>
    <row r="404">
      <c r="G404" s="39"/>
      <c r="H404" s="40"/>
      <c r="I404" s="41"/>
    </row>
    <row r="405">
      <c r="G405" s="39"/>
      <c r="H405" s="40"/>
      <c r="I405" s="41"/>
    </row>
    <row r="406">
      <c r="G406" s="39"/>
      <c r="H406" s="40"/>
      <c r="I406" s="41"/>
    </row>
    <row r="407">
      <c r="G407" s="39"/>
      <c r="H407" s="40"/>
      <c r="I407" s="41"/>
    </row>
    <row r="408">
      <c r="G408" s="39"/>
      <c r="H408" s="40"/>
      <c r="I408" s="41"/>
    </row>
    <row r="409">
      <c r="G409" s="39"/>
      <c r="H409" s="40"/>
      <c r="I409" s="41"/>
    </row>
    <row r="410">
      <c r="G410" s="39"/>
      <c r="H410" s="40"/>
      <c r="I410" s="41"/>
    </row>
    <row r="411">
      <c r="G411" s="39"/>
      <c r="H411" s="40"/>
      <c r="I411" s="41"/>
    </row>
    <row r="412">
      <c r="G412" s="39"/>
      <c r="H412" s="40"/>
      <c r="I412" s="41"/>
    </row>
    <row r="413">
      <c r="G413" s="39"/>
      <c r="H413" s="40"/>
      <c r="I413" s="41"/>
    </row>
    <row r="414">
      <c r="G414" s="39"/>
      <c r="H414" s="40"/>
      <c r="I414" s="41"/>
    </row>
    <row r="415">
      <c r="G415" s="39"/>
      <c r="H415" s="40"/>
      <c r="I415" s="41"/>
    </row>
    <row r="416">
      <c r="G416" s="39"/>
      <c r="H416" s="40"/>
      <c r="I416" s="41"/>
    </row>
    <row r="417">
      <c r="G417" s="39"/>
      <c r="H417" s="40"/>
      <c r="I417" s="41"/>
    </row>
    <row r="418">
      <c r="G418" s="39"/>
      <c r="H418" s="40"/>
      <c r="I418" s="41"/>
    </row>
    <row r="419">
      <c r="G419" s="39"/>
      <c r="H419" s="40"/>
      <c r="I419" s="41"/>
    </row>
    <row r="420">
      <c r="G420" s="39"/>
      <c r="H420" s="40"/>
      <c r="I420" s="41"/>
    </row>
    <row r="421">
      <c r="G421" s="39"/>
      <c r="H421" s="40"/>
      <c r="I421" s="41"/>
    </row>
    <row r="422">
      <c r="G422" s="39"/>
      <c r="H422" s="40"/>
      <c r="I422" s="41"/>
    </row>
    <row r="423">
      <c r="G423" s="39"/>
      <c r="H423" s="40"/>
      <c r="I423" s="41"/>
    </row>
    <row r="424">
      <c r="G424" s="39"/>
      <c r="H424" s="40"/>
      <c r="I424" s="41"/>
    </row>
    <row r="425">
      <c r="G425" s="39"/>
      <c r="H425" s="40"/>
      <c r="I425" s="41"/>
    </row>
    <row r="426">
      <c r="G426" s="39"/>
      <c r="H426" s="40"/>
      <c r="I426" s="41"/>
    </row>
    <row r="427">
      <c r="G427" s="39"/>
      <c r="H427" s="40"/>
      <c r="I427" s="41"/>
    </row>
    <row r="428">
      <c r="G428" s="39"/>
      <c r="H428" s="40"/>
      <c r="I428" s="41"/>
    </row>
    <row r="429">
      <c r="G429" s="39"/>
      <c r="H429" s="40"/>
      <c r="I429" s="41"/>
    </row>
    <row r="430">
      <c r="G430" s="39"/>
      <c r="H430" s="40"/>
      <c r="I430" s="41"/>
    </row>
    <row r="431">
      <c r="G431" s="39"/>
      <c r="H431" s="40"/>
      <c r="I431" s="41"/>
    </row>
    <row r="432">
      <c r="G432" s="39"/>
      <c r="H432" s="40"/>
      <c r="I432" s="41"/>
    </row>
    <row r="433">
      <c r="G433" s="39"/>
      <c r="H433" s="40"/>
      <c r="I433" s="41"/>
    </row>
    <row r="434">
      <c r="G434" s="39"/>
      <c r="H434" s="40"/>
      <c r="I434" s="41"/>
    </row>
    <row r="435">
      <c r="G435" s="39"/>
      <c r="H435" s="40"/>
      <c r="I435" s="41"/>
    </row>
    <row r="436">
      <c r="G436" s="39"/>
      <c r="H436" s="40"/>
      <c r="I436" s="41"/>
    </row>
    <row r="437">
      <c r="G437" s="39"/>
      <c r="H437" s="40"/>
      <c r="I437" s="41"/>
    </row>
    <row r="438">
      <c r="G438" s="39"/>
      <c r="H438" s="40"/>
      <c r="I438" s="41"/>
    </row>
    <row r="439">
      <c r="G439" s="39"/>
      <c r="H439" s="40"/>
      <c r="I439" s="41"/>
    </row>
    <row r="440">
      <c r="G440" s="39"/>
      <c r="H440" s="40"/>
      <c r="I440" s="41"/>
    </row>
    <row r="441">
      <c r="G441" s="39"/>
      <c r="H441" s="40"/>
      <c r="I441" s="41"/>
    </row>
    <row r="442">
      <c r="G442" s="39"/>
      <c r="H442" s="40"/>
      <c r="I442" s="41"/>
    </row>
    <row r="443">
      <c r="G443" s="39"/>
      <c r="H443" s="40"/>
      <c r="I443" s="41"/>
    </row>
    <row r="444">
      <c r="G444" s="39"/>
      <c r="H444" s="40"/>
      <c r="I444" s="41"/>
    </row>
    <row r="445">
      <c r="G445" s="39"/>
      <c r="H445" s="40"/>
      <c r="I445" s="41"/>
    </row>
    <row r="446">
      <c r="G446" s="39"/>
      <c r="H446" s="40"/>
      <c r="I446" s="41"/>
    </row>
    <row r="447">
      <c r="G447" s="39"/>
      <c r="H447" s="40"/>
      <c r="I447" s="41"/>
    </row>
    <row r="448">
      <c r="G448" s="39"/>
      <c r="H448" s="40"/>
      <c r="I448" s="41"/>
    </row>
    <row r="449">
      <c r="G449" s="39"/>
      <c r="H449" s="40"/>
      <c r="I449" s="41"/>
    </row>
    <row r="450">
      <c r="G450" s="39"/>
      <c r="H450" s="40"/>
      <c r="I450" s="41"/>
    </row>
    <row r="451">
      <c r="G451" s="39"/>
      <c r="H451" s="40"/>
      <c r="I451" s="41"/>
    </row>
    <row r="452">
      <c r="G452" s="39"/>
      <c r="H452" s="40"/>
      <c r="I452" s="41"/>
    </row>
    <row r="453">
      <c r="G453" s="39"/>
      <c r="H453" s="40"/>
      <c r="I453" s="41"/>
    </row>
    <row r="454">
      <c r="G454" s="39"/>
      <c r="H454" s="40"/>
      <c r="I454" s="41"/>
    </row>
    <row r="455">
      <c r="G455" s="39"/>
      <c r="H455" s="40"/>
      <c r="I455" s="41"/>
    </row>
    <row r="456">
      <c r="G456" s="39"/>
      <c r="H456" s="40"/>
      <c r="I456" s="41"/>
    </row>
    <row r="457">
      <c r="G457" s="39"/>
      <c r="H457" s="40"/>
      <c r="I457" s="41"/>
    </row>
    <row r="458">
      <c r="G458" s="39"/>
      <c r="H458" s="40"/>
      <c r="I458" s="41"/>
    </row>
    <row r="459">
      <c r="G459" s="39"/>
      <c r="H459" s="40"/>
      <c r="I459" s="41"/>
    </row>
    <row r="460">
      <c r="G460" s="39"/>
      <c r="H460" s="40"/>
      <c r="I460" s="41"/>
    </row>
    <row r="461">
      <c r="G461" s="39"/>
      <c r="H461" s="40"/>
      <c r="I461" s="41"/>
    </row>
    <row r="462">
      <c r="G462" s="39"/>
      <c r="H462" s="40"/>
      <c r="I462" s="41"/>
    </row>
    <row r="463">
      <c r="G463" s="39"/>
      <c r="H463" s="40"/>
      <c r="I463" s="41"/>
    </row>
    <row r="464">
      <c r="G464" s="39"/>
      <c r="H464" s="40"/>
      <c r="I464" s="41"/>
    </row>
    <row r="465">
      <c r="G465" s="39"/>
      <c r="H465" s="40"/>
      <c r="I465" s="41"/>
    </row>
    <row r="466">
      <c r="G466" s="39"/>
      <c r="H466" s="40"/>
      <c r="I466" s="41"/>
    </row>
    <row r="467">
      <c r="G467" s="39"/>
      <c r="H467" s="40"/>
      <c r="I467" s="41"/>
    </row>
    <row r="468">
      <c r="G468" s="39"/>
      <c r="H468" s="40"/>
      <c r="I468" s="41"/>
    </row>
    <row r="469">
      <c r="G469" s="39"/>
      <c r="H469" s="40"/>
      <c r="I469" s="41"/>
    </row>
    <row r="470">
      <c r="G470" s="39"/>
      <c r="H470" s="40"/>
      <c r="I470" s="41"/>
    </row>
    <row r="471">
      <c r="G471" s="39"/>
      <c r="H471" s="40"/>
      <c r="I471" s="41"/>
    </row>
    <row r="472">
      <c r="G472" s="39"/>
      <c r="H472" s="40"/>
      <c r="I472" s="41"/>
    </row>
    <row r="473">
      <c r="G473" s="39"/>
      <c r="H473" s="40"/>
      <c r="I473" s="41"/>
    </row>
    <row r="474">
      <c r="G474" s="39"/>
      <c r="H474" s="40"/>
      <c r="I474" s="41"/>
    </row>
    <row r="475">
      <c r="G475" s="39"/>
      <c r="H475" s="40"/>
      <c r="I475" s="41"/>
    </row>
    <row r="476">
      <c r="G476" s="39"/>
      <c r="H476" s="40"/>
      <c r="I476" s="41"/>
    </row>
    <row r="477">
      <c r="G477" s="39"/>
      <c r="H477" s="40"/>
      <c r="I477" s="41"/>
    </row>
    <row r="478">
      <c r="G478" s="39"/>
      <c r="H478" s="40"/>
      <c r="I478" s="41"/>
    </row>
    <row r="479">
      <c r="G479" s="39"/>
      <c r="H479" s="40"/>
      <c r="I479" s="41"/>
    </row>
    <row r="480">
      <c r="G480" s="39"/>
      <c r="H480" s="40"/>
      <c r="I480" s="41"/>
    </row>
    <row r="481">
      <c r="G481" s="39"/>
      <c r="H481" s="40"/>
      <c r="I481" s="41"/>
    </row>
    <row r="482">
      <c r="G482" s="39"/>
      <c r="H482" s="40"/>
      <c r="I482" s="41"/>
    </row>
    <row r="483">
      <c r="G483" s="39"/>
      <c r="H483" s="40"/>
      <c r="I483" s="41"/>
    </row>
    <row r="484">
      <c r="G484" s="39"/>
      <c r="H484" s="40"/>
      <c r="I484" s="41"/>
    </row>
    <row r="485">
      <c r="G485" s="39"/>
      <c r="H485" s="40"/>
      <c r="I485" s="41"/>
    </row>
    <row r="486">
      <c r="G486" s="39"/>
      <c r="H486" s="40"/>
      <c r="I486" s="41"/>
    </row>
    <row r="487">
      <c r="G487" s="39"/>
      <c r="H487" s="40"/>
      <c r="I487" s="41"/>
    </row>
    <row r="488">
      <c r="G488" s="39"/>
      <c r="H488" s="40"/>
      <c r="I488" s="41"/>
    </row>
    <row r="489">
      <c r="G489" s="39"/>
      <c r="H489" s="40"/>
      <c r="I489" s="41"/>
    </row>
    <row r="490">
      <c r="G490" s="39"/>
      <c r="H490" s="40"/>
      <c r="I490" s="41"/>
    </row>
    <row r="491">
      <c r="G491" s="39"/>
      <c r="H491" s="40"/>
      <c r="I491" s="41"/>
    </row>
    <row r="492">
      <c r="G492" s="39"/>
      <c r="H492" s="40"/>
      <c r="I492" s="41"/>
    </row>
    <row r="493">
      <c r="G493" s="39"/>
      <c r="H493" s="40"/>
      <c r="I493" s="41"/>
    </row>
    <row r="494">
      <c r="G494" s="39"/>
      <c r="H494" s="40"/>
      <c r="I494" s="41"/>
    </row>
    <row r="495">
      <c r="G495" s="39"/>
      <c r="H495" s="40"/>
      <c r="I495" s="41"/>
    </row>
    <row r="496">
      <c r="G496" s="39"/>
      <c r="H496" s="40"/>
      <c r="I496" s="41"/>
    </row>
    <row r="497">
      <c r="G497" s="39"/>
      <c r="H497" s="40"/>
      <c r="I497" s="41"/>
    </row>
    <row r="498">
      <c r="G498" s="39"/>
      <c r="H498" s="40"/>
      <c r="I498" s="41"/>
    </row>
    <row r="499">
      <c r="G499" s="39"/>
      <c r="H499" s="40"/>
      <c r="I499" s="41"/>
    </row>
    <row r="500">
      <c r="G500" s="39"/>
      <c r="H500" s="40"/>
      <c r="I500" s="41"/>
    </row>
    <row r="501">
      <c r="G501" s="39"/>
      <c r="H501" s="40"/>
      <c r="I501" s="41"/>
    </row>
    <row r="502">
      <c r="G502" s="39"/>
      <c r="H502" s="40"/>
      <c r="I502" s="41"/>
    </row>
    <row r="503">
      <c r="G503" s="39"/>
      <c r="H503" s="40"/>
      <c r="I503" s="41"/>
    </row>
    <row r="504">
      <c r="G504" s="39"/>
      <c r="H504" s="40"/>
      <c r="I504" s="41"/>
    </row>
    <row r="505">
      <c r="G505" s="39"/>
      <c r="H505" s="40"/>
      <c r="I505" s="41"/>
    </row>
    <row r="506">
      <c r="G506" s="39"/>
      <c r="H506" s="40"/>
      <c r="I506" s="41"/>
    </row>
    <row r="507">
      <c r="G507" s="39"/>
      <c r="H507" s="40"/>
      <c r="I507" s="41"/>
    </row>
    <row r="508">
      <c r="G508" s="39"/>
      <c r="H508" s="40"/>
      <c r="I508" s="41"/>
    </row>
    <row r="509">
      <c r="G509" s="39"/>
      <c r="H509" s="40"/>
      <c r="I509" s="41"/>
    </row>
    <row r="510">
      <c r="G510" s="39"/>
      <c r="H510" s="40"/>
      <c r="I510" s="41"/>
    </row>
    <row r="511">
      <c r="G511" s="39"/>
      <c r="H511" s="40"/>
      <c r="I511" s="41"/>
    </row>
    <row r="512">
      <c r="G512" s="39"/>
      <c r="H512" s="40"/>
      <c r="I512" s="41"/>
    </row>
    <row r="513">
      <c r="G513" s="39"/>
      <c r="H513" s="40"/>
      <c r="I513" s="41"/>
    </row>
    <row r="514">
      <c r="G514" s="39"/>
      <c r="H514" s="40"/>
      <c r="I514" s="41"/>
    </row>
    <row r="515">
      <c r="G515" s="39"/>
      <c r="H515" s="40"/>
      <c r="I515" s="41"/>
    </row>
    <row r="516">
      <c r="G516" s="39"/>
      <c r="H516" s="40"/>
      <c r="I516" s="41"/>
    </row>
    <row r="517">
      <c r="G517" s="39"/>
      <c r="H517" s="40"/>
      <c r="I517" s="41"/>
    </row>
    <row r="518">
      <c r="G518" s="39"/>
      <c r="H518" s="40"/>
      <c r="I518" s="41"/>
    </row>
    <row r="519">
      <c r="G519" s="39"/>
      <c r="H519" s="40"/>
      <c r="I519" s="41"/>
    </row>
    <row r="520">
      <c r="G520" s="39"/>
      <c r="H520" s="40"/>
      <c r="I520" s="41"/>
    </row>
    <row r="521">
      <c r="G521" s="39"/>
      <c r="H521" s="40"/>
      <c r="I521" s="41"/>
    </row>
    <row r="522">
      <c r="G522" s="39"/>
      <c r="H522" s="40"/>
      <c r="I522" s="41"/>
    </row>
    <row r="523">
      <c r="G523" s="39"/>
      <c r="H523" s="40"/>
      <c r="I523" s="41"/>
    </row>
    <row r="524">
      <c r="G524" s="39"/>
      <c r="H524" s="40"/>
      <c r="I524" s="41"/>
    </row>
    <row r="525">
      <c r="G525" s="39"/>
      <c r="H525" s="40"/>
      <c r="I525" s="41"/>
    </row>
    <row r="526">
      <c r="G526" s="39"/>
      <c r="H526" s="40"/>
      <c r="I526" s="41"/>
    </row>
    <row r="527">
      <c r="G527" s="39"/>
      <c r="H527" s="40"/>
      <c r="I527" s="41"/>
    </row>
    <row r="528">
      <c r="G528" s="39"/>
      <c r="H528" s="40"/>
      <c r="I528" s="41"/>
    </row>
    <row r="529">
      <c r="G529" s="39"/>
      <c r="H529" s="40"/>
      <c r="I529" s="41"/>
    </row>
    <row r="530">
      <c r="G530" s="39"/>
      <c r="H530" s="40"/>
      <c r="I530" s="41"/>
    </row>
    <row r="531">
      <c r="G531" s="39"/>
      <c r="H531" s="40"/>
      <c r="I531" s="41"/>
    </row>
    <row r="532">
      <c r="G532" s="39"/>
      <c r="H532" s="40"/>
      <c r="I532" s="41"/>
    </row>
    <row r="533">
      <c r="G533" s="39"/>
      <c r="H533" s="40"/>
      <c r="I533" s="41"/>
    </row>
    <row r="534">
      <c r="G534" s="39"/>
      <c r="H534" s="40"/>
      <c r="I534" s="41"/>
    </row>
    <row r="535">
      <c r="G535" s="39"/>
      <c r="H535" s="40"/>
      <c r="I535" s="41"/>
    </row>
    <row r="536">
      <c r="G536" s="39"/>
      <c r="H536" s="40"/>
      <c r="I536" s="41"/>
    </row>
    <row r="537">
      <c r="G537" s="39"/>
      <c r="H537" s="40"/>
      <c r="I537" s="41"/>
    </row>
    <row r="538">
      <c r="G538" s="39"/>
      <c r="H538" s="40"/>
      <c r="I538" s="41"/>
    </row>
    <row r="539">
      <c r="G539" s="39"/>
      <c r="H539" s="40"/>
      <c r="I539" s="41"/>
    </row>
    <row r="540">
      <c r="G540" s="39"/>
      <c r="H540" s="40"/>
      <c r="I540" s="41"/>
    </row>
    <row r="541">
      <c r="G541" s="39"/>
      <c r="H541" s="40"/>
      <c r="I541" s="41"/>
    </row>
    <row r="542">
      <c r="G542" s="39"/>
      <c r="H542" s="40"/>
      <c r="I542" s="41"/>
    </row>
    <row r="543">
      <c r="G543" s="39"/>
      <c r="H543" s="40"/>
      <c r="I543" s="41"/>
    </row>
    <row r="544">
      <c r="G544" s="39"/>
      <c r="H544" s="40"/>
      <c r="I544" s="41"/>
    </row>
    <row r="545">
      <c r="G545" s="39"/>
      <c r="H545" s="40"/>
      <c r="I545" s="41"/>
    </row>
    <row r="546">
      <c r="G546" s="39"/>
      <c r="H546" s="40"/>
      <c r="I546" s="41"/>
    </row>
    <row r="547">
      <c r="G547" s="39"/>
      <c r="H547" s="40"/>
      <c r="I547" s="41"/>
    </row>
    <row r="548">
      <c r="G548" s="39"/>
      <c r="H548" s="40"/>
      <c r="I548" s="41"/>
    </row>
    <row r="549">
      <c r="G549" s="39"/>
      <c r="H549" s="40"/>
      <c r="I549" s="41"/>
    </row>
    <row r="550">
      <c r="G550" s="39"/>
      <c r="H550" s="40"/>
      <c r="I550" s="41"/>
    </row>
    <row r="551">
      <c r="G551" s="39"/>
      <c r="H551" s="40"/>
      <c r="I551" s="41"/>
    </row>
    <row r="552">
      <c r="G552" s="39"/>
      <c r="H552" s="40"/>
      <c r="I552" s="41"/>
    </row>
    <row r="553">
      <c r="G553" s="39"/>
      <c r="H553" s="40"/>
      <c r="I553" s="41"/>
    </row>
    <row r="554">
      <c r="G554" s="39"/>
      <c r="H554" s="40"/>
      <c r="I554" s="41"/>
    </row>
    <row r="555">
      <c r="G555" s="39"/>
      <c r="H555" s="40"/>
      <c r="I555" s="41"/>
    </row>
    <row r="556">
      <c r="G556" s="39"/>
      <c r="H556" s="40"/>
      <c r="I556" s="41"/>
    </row>
    <row r="557">
      <c r="G557" s="39"/>
      <c r="H557" s="40"/>
      <c r="I557" s="41"/>
    </row>
    <row r="558">
      <c r="G558" s="39"/>
      <c r="H558" s="40"/>
      <c r="I558" s="41"/>
    </row>
    <row r="559">
      <c r="G559" s="39"/>
      <c r="H559" s="40"/>
      <c r="I559" s="41"/>
    </row>
    <row r="560">
      <c r="G560" s="39"/>
      <c r="H560" s="40"/>
      <c r="I560" s="41"/>
    </row>
    <row r="561">
      <c r="G561" s="39"/>
      <c r="H561" s="40"/>
      <c r="I561" s="41"/>
    </row>
    <row r="562">
      <c r="G562" s="39"/>
      <c r="H562" s="40"/>
      <c r="I562" s="41"/>
    </row>
    <row r="563">
      <c r="G563" s="39"/>
      <c r="H563" s="40"/>
      <c r="I563" s="41"/>
    </row>
    <row r="564">
      <c r="G564" s="39"/>
      <c r="H564" s="40"/>
      <c r="I564" s="41"/>
    </row>
    <row r="565">
      <c r="G565" s="39"/>
      <c r="H565" s="40"/>
      <c r="I565" s="41"/>
    </row>
    <row r="566">
      <c r="G566" s="39"/>
      <c r="H566" s="40"/>
      <c r="I566" s="41"/>
    </row>
    <row r="567">
      <c r="G567" s="39"/>
      <c r="H567" s="40"/>
      <c r="I567" s="41"/>
    </row>
    <row r="568">
      <c r="G568" s="39"/>
      <c r="H568" s="40"/>
      <c r="I568" s="41"/>
    </row>
    <row r="569">
      <c r="G569" s="39"/>
      <c r="H569" s="40"/>
      <c r="I569" s="41"/>
    </row>
    <row r="570">
      <c r="G570" s="39"/>
      <c r="H570" s="40"/>
      <c r="I570" s="41"/>
    </row>
    <row r="571">
      <c r="G571" s="39"/>
      <c r="H571" s="40"/>
      <c r="I571" s="41"/>
    </row>
    <row r="572">
      <c r="G572" s="39"/>
      <c r="H572" s="40"/>
      <c r="I572" s="41"/>
    </row>
    <row r="573">
      <c r="G573" s="39"/>
      <c r="H573" s="40"/>
      <c r="I573" s="41"/>
    </row>
    <row r="574">
      <c r="G574" s="39"/>
      <c r="H574" s="40"/>
      <c r="I574" s="41"/>
    </row>
    <row r="575">
      <c r="G575" s="39"/>
      <c r="H575" s="40"/>
      <c r="I575" s="41"/>
    </row>
    <row r="576">
      <c r="G576" s="39"/>
      <c r="H576" s="40"/>
      <c r="I576" s="41"/>
    </row>
    <row r="577">
      <c r="G577" s="39"/>
      <c r="H577" s="40"/>
      <c r="I577" s="41"/>
    </row>
    <row r="578">
      <c r="G578" s="39"/>
      <c r="H578" s="40"/>
      <c r="I578" s="41"/>
    </row>
    <row r="579">
      <c r="G579" s="39"/>
      <c r="H579" s="40"/>
      <c r="I579" s="41"/>
    </row>
    <row r="580">
      <c r="G580" s="39"/>
      <c r="H580" s="40"/>
      <c r="I580" s="41"/>
    </row>
    <row r="581">
      <c r="G581" s="39"/>
      <c r="H581" s="40"/>
      <c r="I581" s="41"/>
    </row>
    <row r="582">
      <c r="G582" s="39"/>
      <c r="H582" s="40"/>
      <c r="I582" s="41"/>
    </row>
    <row r="583">
      <c r="G583" s="39"/>
      <c r="H583" s="40"/>
      <c r="I583" s="41"/>
    </row>
    <row r="584">
      <c r="G584" s="39"/>
      <c r="H584" s="40"/>
      <c r="I584" s="41"/>
    </row>
    <row r="585">
      <c r="G585" s="39"/>
      <c r="H585" s="40"/>
      <c r="I585" s="41"/>
    </row>
    <row r="586">
      <c r="G586" s="39"/>
      <c r="H586" s="40"/>
      <c r="I586" s="41"/>
    </row>
    <row r="587">
      <c r="G587" s="39"/>
      <c r="H587" s="40"/>
      <c r="I587" s="41"/>
    </row>
    <row r="588">
      <c r="G588" s="39"/>
      <c r="H588" s="40"/>
      <c r="I588" s="41"/>
    </row>
    <row r="589">
      <c r="G589" s="39"/>
      <c r="H589" s="40"/>
      <c r="I589" s="41"/>
    </row>
    <row r="590">
      <c r="G590" s="39"/>
      <c r="H590" s="40"/>
      <c r="I590" s="41"/>
    </row>
    <row r="591">
      <c r="G591" s="39"/>
      <c r="H591" s="40"/>
      <c r="I591" s="41"/>
    </row>
    <row r="592">
      <c r="G592" s="39"/>
      <c r="H592" s="40"/>
      <c r="I592" s="41"/>
    </row>
    <row r="593">
      <c r="G593" s="39"/>
      <c r="H593" s="40"/>
      <c r="I593" s="41"/>
    </row>
    <row r="594">
      <c r="G594" s="39"/>
      <c r="H594" s="40"/>
      <c r="I594" s="41"/>
    </row>
    <row r="595">
      <c r="G595" s="39"/>
      <c r="H595" s="40"/>
      <c r="I595" s="41"/>
    </row>
    <row r="596">
      <c r="G596" s="39"/>
      <c r="H596" s="40"/>
      <c r="I596" s="41"/>
    </row>
    <row r="597">
      <c r="G597" s="39"/>
      <c r="H597" s="40"/>
      <c r="I597" s="41"/>
    </row>
    <row r="598">
      <c r="G598" s="39"/>
      <c r="H598" s="40"/>
      <c r="I598" s="41"/>
    </row>
    <row r="599">
      <c r="G599" s="39"/>
      <c r="H599" s="40"/>
      <c r="I599" s="41"/>
    </row>
    <row r="600">
      <c r="G600" s="39"/>
      <c r="H600" s="40"/>
      <c r="I600" s="41"/>
    </row>
    <row r="601">
      <c r="G601" s="39"/>
      <c r="H601" s="40"/>
      <c r="I601" s="41"/>
    </row>
    <row r="602">
      <c r="G602" s="39"/>
      <c r="H602" s="40"/>
      <c r="I602" s="41"/>
    </row>
    <row r="603">
      <c r="G603" s="39"/>
      <c r="H603" s="40"/>
      <c r="I603" s="41"/>
    </row>
    <row r="604">
      <c r="G604" s="39"/>
      <c r="H604" s="40"/>
      <c r="I604" s="41"/>
    </row>
    <row r="605">
      <c r="G605" s="39"/>
      <c r="H605" s="40"/>
      <c r="I605" s="41"/>
    </row>
    <row r="606">
      <c r="G606" s="39"/>
      <c r="H606" s="40"/>
      <c r="I606" s="41"/>
    </row>
    <row r="607">
      <c r="G607" s="39"/>
      <c r="H607" s="40"/>
      <c r="I607" s="41"/>
    </row>
    <row r="608">
      <c r="G608" s="39"/>
      <c r="H608" s="40"/>
      <c r="I608" s="41"/>
    </row>
    <row r="609">
      <c r="G609" s="39"/>
      <c r="H609" s="40"/>
      <c r="I609" s="41"/>
    </row>
    <row r="610">
      <c r="G610" s="39"/>
      <c r="H610" s="40"/>
      <c r="I610" s="41"/>
    </row>
    <row r="611">
      <c r="G611" s="39"/>
      <c r="H611" s="40"/>
      <c r="I611" s="41"/>
    </row>
    <row r="612">
      <c r="G612" s="39"/>
      <c r="H612" s="40"/>
      <c r="I612" s="41"/>
    </row>
    <row r="613">
      <c r="G613" s="39"/>
      <c r="H613" s="40"/>
      <c r="I613" s="41"/>
    </row>
    <row r="614">
      <c r="G614" s="39"/>
      <c r="H614" s="40"/>
      <c r="I614" s="41"/>
    </row>
    <row r="615">
      <c r="G615" s="39"/>
      <c r="H615" s="40"/>
      <c r="I615" s="41"/>
    </row>
    <row r="616">
      <c r="G616" s="39"/>
      <c r="H616" s="40"/>
      <c r="I616" s="41"/>
    </row>
    <row r="617">
      <c r="G617" s="39"/>
      <c r="H617" s="40"/>
      <c r="I617" s="41"/>
    </row>
    <row r="618">
      <c r="G618" s="39"/>
      <c r="H618" s="40"/>
      <c r="I618" s="41"/>
    </row>
    <row r="619">
      <c r="G619" s="39"/>
      <c r="H619" s="40"/>
      <c r="I619" s="41"/>
    </row>
    <row r="620">
      <c r="G620" s="39"/>
      <c r="H620" s="40"/>
      <c r="I620" s="41"/>
    </row>
    <row r="621">
      <c r="G621" s="39"/>
      <c r="H621" s="40"/>
      <c r="I621" s="41"/>
    </row>
    <row r="622">
      <c r="G622" s="39"/>
      <c r="H622" s="40"/>
      <c r="I622" s="41"/>
    </row>
    <row r="623">
      <c r="G623" s="39"/>
      <c r="H623" s="40"/>
      <c r="I623" s="41"/>
    </row>
    <row r="624">
      <c r="G624" s="39"/>
      <c r="H624" s="40"/>
      <c r="I624" s="41"/>
    </row>
    <row r="625">
      <c r="G625" s="39"/>
      <c r="H625" s="40"/>
      <c r="I625" s="41"/>
    </row>
    <row r="626">
      <c r="G626" s="39"/>
      <c r="H626" s="40"/>
      <c r="I626" s="41"/>
    </row>
    <row r="627">
      <c r="G627" s="39"/>
      <c r="H627" s="40"/>
      <c r="I627" s="41"/>
    </row>
    <row r="628">
      <c r="G628" s="39"/>
      <c r="H628" s="40"/>
      <c r="I628" s="41"/>
    </row>
    <row r="629">
      <c r="G629" s="39"/>
      <c r="H629" s="40"/>
      <c r="I629" s="41"/>
    </row>
    <row r="630">
      <c r="G630" s="39"/>
      <c r="H630" s="40"/>
      <c r="I630" s="41"/>
    </row>
    <row r="631">
      <c r="G631" s="39"/>
      <c r="H631" s="40"/>
      <c r="I631" s="41"/>
    </row>
    <row r="632">
      <c r="G632" s="39"/>
      <c r="H632" s="40"/>
      <c r="I632" s="41"/>
    </row>
    <row r="633">
      <c r="G633" s="39"/>
      <c r="H633" s="40"/>
      <c r="I633" s="41"/>
    </row>
    <row r="634">
      <c r="G634" s="39"/>
      <c r="H634" s="40"/>
      <c r="I634" s="41"/>
    </row>
    <row r="635">
      <c r="G635" s="39"/>
      <c r="H635" s="40"/>
      <c r="I635" s="41"/>
    </row>
    <row r="636">
      <c r="G636" s="39"/>
      <c r="H636" s="40"/>
      <c r="I636" s="41"/>
    </row>
    <row r="637">
      <c r="G637" s="39"/>
      <c r="H637" s="40"/>
      <c r="I637" s="41"/>
    </row>
    <row r="638">
      <c r="G638" s="39"/>
      <c r="H638" s="40"/>
      <c r="I638" s="41"/>
    </row>
    <row r="639">
      <c r="G639" s="39"/>
      <c r="H639" s="40"/>
      <c r="I639" s="41"/>
    </row>
    <row r="640">
      <c r="G640" s="39"/>
      <c r="H640" s="40"/>
      <c r="I640" s="41"/>
    </row>
    <row r="641">
      <c r="G641" s="39"/>
      <c r="H641" s="40"/>
      <c r="I641" s="41"/>
    </row>
    <row r="642">
      <c r="G642" s="39"/>
      <c r="H642" s="40"/>
      <c r="I642" s="41"/>
    </row>
    <row r="643">
      <c r="G643" s="39"/>
      <c r="H643" s="40"/>
      <c r="I643" s="41"/>
    </row>
    <row r="644">
      <c r="G644" s="39"/>
      <c r="H644" s="40"/>
      <c r="I644" s="41"/>
    </row>
    <row r="645">
      <c r="G645" s="39"/>
      <c r="H645" s="40"/>
      <c r="I645" s="41"/>
    </row>
    <row r="646">
      <c r="G646" s="39"/>
      <c r="H646" s="40"/>
      <c r="I646" s="41"/>
    </row>
    <row r="647">
      <c r="G647" s="39"/>
      <c r="H647" s="40"/>
      <c r="I647" s="41"/>
    </row>
    <row r="648">
      <c r="G648" s="39"/>
      <c r="H648" s="40"/>
      <c r="I648" s="41"/>
    </row>
    <row r="649">
      <c r="G649" s="39"/>
      <c r="H649" s="40"/>
      <c r="I649" s="41"/>
    </row>
    <row r="650">
      <c r="G650" s="39"/>
      <c r="H650" s="40"/>
      <c r="I650" s="41"/>
    </row>
    <row r="651">
      <c r="G651" s="39"/>
      <c r="H651" s="40"/>
      <c r="I651" s="41"/>
    </row>
    <row r="652">
      <c r="G652" s="39"/>
      <c r="H652" s="40"/>
      <c r="I652" s="41"/>
    </row>
    <row r="653">
      <c r="G653" s="39"/>
      <c r="H653" s="40"/>
      <c r="I653" s="41"/>
    </row>
    <row r="654">
      <c r="G654" s="39"/>
      <c r="H654" s="40"/>
      <c r="I654" s="41"/>
    </row>
    <row r="655">
      <c r="G655" s="39"/>
      <c r="H655" s="40"/>
      <c r="I655" s="41"/>
    </row>
    <row r="656">
      <c r="G656" s="39"/>
      <c r="H656" s="40"/>
      <c r="I656" s="41"/>
    </row>
    <row r="657">
      <c r="G657" s="39"/>
      <c r="H657" s="40"/>
      <c r="I657" s="41"/>
    </row>
    <row r="658">
      <c r="G658" s="39"/>
      <c r="H658" s="40"/>
      <c r="I658" s="41"/>
    </row>
    <row r="659">
      <c r="G659" s="39"/>
      <c r="H659" s="40"/>
      <c r="I659" s="41"/>
    </row>
    <row r="660">
      <c r="G660" s="39"/>
      <c r="H660" s="40"/>
      <c r="I660" s="41"/>
    </row>
    <row r="661">
      <c r="G661" s="39"/>
      <c r="H661" s="40"/>
      <c r="I661" s="41"/>
    </row>
    <row r="662">
      <c r="G662" s="39"/>
      <c r="H662" s="40"/>
      <c r="I662" s="41"/>
    </row>
    <row r="663">
      <c r="G663" s="39"/>
      <c r="H663" s="40"/>
      <c r="I663" s="41"/>
    </row>
    <row r="664">
      <c r="G664" s="39"/>
      <c r="H664" s="40"/>
      <c r="I664" s="41"/>
    </row>
    <row r="665">
      <c r="G665" s="39"/>
      <c r="H665" s="40"/>
      <c r="I665" s="41"/>
    </row>
    <row r="666">
      <c r="G666" s="39"/>
      <c r="H666" s="40"/>
      <c r="I666" s="41"/>
    </row>
    <row r="667">
      <c r="G667" s="39"/>
      <c r="H667" s="40"/>
      <c r="I667" s="41"/>
    </row>
    <row r="668">
      <c r="G668" s="39"/>
      <c r="H668" s="40"/>
      <c r="I668" s="41"/>
    </row>
    <row r="669">
      <c r="G669" s="39"/>
      <c r="H669" s="40"/>
      <c r="I669" s="41"/>
    </row>
    <row r="670">
      <c r="G670" s="39"/>
      <c r="H670" s="40"/>
      <c r="I670" s="41"/>
    </row>
    <row r="671">
      <c r="G671" s="39"/>
      <c r="H671" s="40"/>
      <c r="I671" s="41"/>
    </row>
    <row r="672">
      <c r="G672" s="39"/>
      <c r="H672" s="40"/>
      <c r="I672" s="41"/>
    </row>
    <row r="673">
      <c r="G673" s="39"/>
      <c r="H673" s="40"/>
      <c r="I673" s="41"/>
    </row>
    <row r="674">
      <c r="G674" s="39"/>
      <c r="H674" s="40"/>
      <c r="I674" s="41"/>
    </row>
    <row r="675">
      <c r="G675" s="39"/>
      <c r="H675" s="40"/>
      <c r="I675" s="41"/>
    </row>
    <row r="676">
      <c r="G676" s="39"/>
      <c r="H676" s="40"/>
      <c r="I676" s="41"/>
    </row>
    <row r="677">
      <c r="G677" s="39"/>
      <c r="H677" s="40"/>
      <c r="I677" s="41"/>
    </row>
    <row r="678">
      <c r="G678" s="39"/>
      <c r="H678" s="40"/>
      <c r="I678" s="41"/>
    </row>
    <row r="679">
      <c r="G679" s="39"/>
      <c r="H679" s="40"/>
      <c r="I679" s="41"/>
    </row>
    <row r="680">
      <c r="G680" s="39"/>
      <c r="H680" s="40"/>
      <c r="I680" s="41"/>
    </row>
    <row r="681">
      <c r="G681" s="39"/>
      <c r="H681" s="40"/>
      <c r="I681" s="41"/>
    </row>
    <row r="682">
      <c r="G682" s="39"/>
      <c r="H682" s="40"/>
      <c r="I682" s="41"/>
    </row>
    <row r="683">
      <c r="G683" s="39"/>
      <c r="H683" s="40"/>
      <c r="I683" s="41"/>
    </row>
    <row r="684">
      <c r="G684" s="39"/>
      <c r="H684" s="40"/>
      <c r="I684" s="41"/>
    </row>
    <row r="685">
      <c r="G685" s="39"/>
      <c r="H685" s="40"/>
      <c r="I685" s="41"/>
    </row>
    <row r="686">
      <c r="G686" s="39"/>
      <c r="H686" s="40"/>
      <c r="I686" s="41"/>
    </row>
    <row r="687">
      <c r="G687" s="39"/>
      <c r="H687" s="40"/>
      <c r="I687" s="41"/>
    </row>
    <row r="688">
      <c r="G688" s="39"/>
      <c r="H688" s="40"/>
      <c r="I688" s="41"/>
    </row>
    <row r="689">
      <c r="G689" s="39"/>
      <c r="H689" s="40"/>
      <c r="I689" s="41"/>
    </row>
    <row r="690">
      <c r="G690" s="39"/>
      <c r="H690" s="40"/>
      <c r="I690" s="41"/>
    </row>
    <row r="691">
      <c r="G691" s="39"/>
      <c r="H691" s="40"/>
      <c r="I691" s="41"/>
    </row>
    <row r="692">
      <c r="G692" s="39"/>
      <c r="H692" s="40"/>
      <c r="I692" s="41"/>
    </row>
    <row r="693">
      <c r="G693" s="39"/>
      <c r="H693" s="40"/>
      <c r="I693" s="41"/>
    </row>
    <row r="694">
      <c r="G694" s="39"/>
      <c r="H694" s="40"/>
      <c r="I694" s="41"/>
    </row>
    <row r="695">
      <c r="G695" s="39"/>
      <c r="H695" s="40"/>
      <c r="I695" s="41"/>
    </row>
    <row r="696">
      <c r="G696" s="39"/>
      <c r="H696" s="40"/>
      <c r="I696" s="41"/>
    </row>
    <row r="697">
      <c r="G697" s="39"/>
      <c r="H697" s="40"/>
      <c r="I697" s="41"/>
    </row>
    <row r="698">
      <c r="G698" s="39"/>
      <c r="H698" s="40"/>
      <c r="I698" s="41"/>
    </row>
    <row r="699">
      <c r="G699" s="39"/>
      <c r="H699" s="40"/>
      <c r="I699" s="41"/>
    </row>
    <row r="700">
      <c r="G700" s="39"/>
      <c r="H700" s="40"/>
      <c r="I700" s="41"/>
    </row>
    <row r="701">
      <c r="G701" s="39"/>
      <c r="H701" s="40"/>
      <c r="I701" s="41"/>
    </row>
    <row r="702">
      <c r="G702" s="39"/>
      <c r="H702" s="40"/>
      <c r="I702" s="41"/>
    </row>
    <row r="703">
      <c r="G703" s="39"/>
      <c r="H703" s="40"/>
      <c r="I703" s="41"/>
    </row>
    <row r="704">
      <c r="G704" s="39"/>
      <c r="H704" s="40"/>
      <c r="I704" s="41"/>
    </row>
    <row r="705">
      <c r="G705" s="39"/>
      <c r="H705" s="40"/>
      <c r="I705" s="41"/>
    </row>
    <row r="706">
      <c r="G706" s="39"/>
      <c r="H706" s="40"/>
      <c r="I706" s="41"/>
    </row>
    <row r="707">
      <c r="G707" s="39"/>
      <c r="H707" s="40"/>
      <c r="I707" s="41"/>
    </row>
    <row r="708">
      <c r="G708" s="39"/>
      <c r="H708" s="40"/>
      <c r="I708" s="41"/>
    </row>
    <row r="709">
      <c r="G709" s="39"/>
      <c r="H709" s="40"/>
      <c r="I709" s="41"/>
    </row>
    <row r="710">
      <c r="G710" s="39"/>
      <c r="H710" s="40"/>
      <c r="I710" s="41"/>
    </row>
    <row r="711">
      <c r="G711" s="39"/>
      <c r="H711" s="40"/>
      <c r="I711" s="41"/>
    </row>
    <row r="712">
      <c r="G712" s="39"/>
      <c r="H712" s="40"/>
      <c r="I712" s="41"/>
    </row>
    <row r="713">
      <c r="G713" s="39"/>
      <c r="H713" s="40"/>
      <c r="I713" s="41"/>
    </row>
    <row r="714">
      <c r="G714" s="39"/>
      <c r="H714" s="40"/>
      <c r="I714" s="41"/>
    </row>
    <row r="715">
      <c r="G715" s="39"/>
      <c r="H715" s="40"/>
      <c r="I715" s="41"/>
    </row>
    <row r="716">
      <c r="G716" s="39"/>
      <c r="H716" s="40"/>
      <c r="I716" s="41"/>
    </row>
    <row r="717">
      <c r="G717" s="39"/>
      <c r="H717" s="40"/>
      <c r="I717" s="41"/>
    </row>
    <row r="718">
      <c r="G718" s="39"/>
      <c r="H718" s="40"/>
      <c r="I718" s="41"/>
    </row>
    <row r="719">
      <c r="G719" s="39"/>
      <c r="H719" s="40"/>
      <c r="I719" s="41"/>
    </row>
    <row r="720">
      <c r="G720" s="39"/>
      <c r="H720" s="40"/>
      <c r="I720" s="41"/>
    </row>
    <row r="721">
      <c r="G721" s="39"/>
      <c r="H721" s="40"/>
      <c r="I721" s="41"/>
    </row>
    <row r="722">
      <c r="G722" s="39"/>
      <c r="H722" s="40"/>
      <c r="I722" s="41"/>
    </row>
    <row r="723">
      <c r="G723" s="39"/>
      <c r="H723" s="40"/>
      <c r="I723" s="41"/>
    </row>
    <row r="724">
      <c r="G724" s="39"/>
      <c r="H724" s="40"/>
      <c r="I724" s="41"/>
    </row>
    <row r="725">
      <c r="G725" s="39"/>
      <c r="H725" s="40"/>
      <c r="I725" s="41"/>
    </row>
    <row r="726">
      <c r="G726" s="39"/>
      <c r="H726" s="40"/>
      <c r="I726" s="41"/>
    </row>
    <row r="727">
      <c r="G727" s="39"/>
      <c r="H727" s="40"/>
      <c r="I727" s="41"/>
    </row>
    <row r="728">
      <c r="G728" s="39"/>
      <c r="H728" s="40"/>
      <c r="I728" s="41"/>
    </row>
    <row r="729">
      <c r="G729" s="39"/>
      <c r="H729" s="40"/>
      <c r="I729" s="41"/>
    </row>
    <row r="730">
      <c r="G730" s="39"/>
      <c r="H730" s="40"/>
      <c r="I730" s="41"/>
    </row>
    <row r="731">
      <c r="G731" s="39"/>
      <c r="H731" s="40"/>
      <c r="I731" s="41"/>
    </row>
    <row r="732">
      <c r="G732" s="39"/>
      <c r="H732" s="40"/>
      <c r="I732" s="41"/>
    </row>
    <row r="733">
      <c r="G733" s="39"/>
      <c r="H733" s="40"/>
      <c r="I733" s="41"/>
    </row>
    <row r="734">
      <c r="G734" s="39"/>
      <c r="H734" s="40"/>
      <c r="I734" s="41"/>
    </row>
    <row r="735">
      <c r="G735" s="39"/>
      <c r="H735" s="40"/>
      <c r="I735" s="41"/>
    </row>
    <row r="736">
      <c r="G736" s="39"/>
      <c r="H736" s="40"/>
      <c r="I736" s="41"/>
    </row>
    <row r="737">
      <c r="G737" s="39"/>
      <c r="H737" s="40"/>
      <c r="I737" s="41"/>
    </row>
    <row r="738">
      <c r="G738" s="39"/>
      <c r="H738" s="40"/>
      <c r="I738" s="41"/>
    </row>
    <row r="739">
      <c r="G739" s="39"/>
      <c r="H739" s="40"/>
      <c r="I739" s="41"/>
    </row>
    <row r="740">
      <c r="G740" s="39"/>
      <c r="H740" s="40"/>
      <c r="I740" s="41"/>
    </row>
    <row r="741">
      <c r="G741" s="39"/>
      <c r="H741" s="40"/>
      <c r="I741" s="41"/>
    </row>
    <row r="742">
      <c r="G742" s="39"/>
      <c r="H742" s="40"/>
      <c r="I742" s="41"/>
    </row>
    <row r="743">
      <c r="G743" s="39"/>
      <c r="H743" s="40"/>
      <c r="I743" s="41"/>
    </row>
    <row r="744">
      <c r="G744" s="39"/>
      <c r="H744" s="40"/>
      <c r="I744" s="41"/>
    </row>
    <row r="745">
      <c r="G745" s="39"/>
      <c r="H745" s="40"/>
      <c r="I745" s="41"/>
    </row>
    <row r="746">
      <c r="G746" s="39"/>
      <c r="H746" s="40"/>
      <c r="I746" s="41"/>
    </row>
    <row r="747">
      <c r="G747" s="39"/>
      <c r="H747" s="40"/>
      <c r="I747" s="41"/>
    </row>
    <row r="748">
      <c r="G748" s="39"/>
      <c r="H748" s="40"/>
      <c r="I748" s="41"/>
    </row>
    <row r="749">
      <c r="G749" s="39"/>
      <c r="H749" s="40"/>
      <c r="I749" s="41"/>
    </row>
    <row r="750">
      <c r="G750" s="39"/>
      <c r="H750" s="40"/>
      <c r="I750" s="41"/>
    </row>
    <row r="751">
      <c r="G751" s="39"/>
      <c r="H751" s="40"/>
      <c r="I751" s="41"/>
    </row>
    <row r="752">
      <c r="G752" s="39"/>
      <c r="H752" s="40"/>
      <c r="I752" s="41"/>
    </row>
    <row r="753">
      <c r="G753" s="39"/>
      <c r="H753" s="40"/>
      <c r="I753" s="41"/>
    </row>
    <row r="754">
      <c r="G754" s="39"/>
      <c r="H754" s="40"/>
      <c r="I754" s="41"/>
    </row>
    <row r="755">
      <c r="G755" s="39"/>
      <c r="H755" s="40"/>
      <c r="I755" s="41"/>
    </row>
    <row r="756">
      <c r="G756" s="39"/>
      <c r="H756" s="40"/>
      <c r="I756" s="41"/>
    </row>
    <row r="757">
      <c r="G757" s="39"/>
      <c r="H757" s="40"/>
      <c r="I757" s="41"/>
    </row>
    <row r="758">
      <c r="G758" s="39"/>
      <c r="H758" s="40"/>
      <c r="I758" s="41"/>
    </row>
    <row r="759">
      <c r="G759" s="39"/>
      <c r="H759" s="40"/>
      <c r="I759" s="41"/>
    </row>
    <row r="760">
      <c r="G760" s="39"/>
      <c r="H760" s="40"/>
      <c r="I760" s="41"/>
    </row>
    <row r="761">
      <c r="G761" s="39"/>
      <c r="H761" s="40"/>
      <c r="I761" s="41"/>
    </row>
    <row r="762">
      <c r="G762" s="39"/>
      <c r="H762" s="40"/>
      <c r="I762" s="41"/>
    </row>
    <row r="763">
      <c r="G763" s="39"/>
      <c r="H763" s="40"/>
      <c r="I763" s="41"/>
    </row>
    <row r="764">
      <c r="G764" s="39"/>
      <c r="H764" s="40"/>
      <c r="I764" s="41"/>
    </row>
    <row r="765">
      <c r="G765" s="39"/>
      <c r="H765" s="40"/>
      <c r="I765" s="41"/>
    </row>
    <row r="766">
      <c r="G766" s="39"/>
      <c r="H766" s="40"/>
      <c r="I766" s="41"/>
    </row>
    <row r="767">
      <c r="G767" s="39"/>
      <c r="H767" s="40"/>
      <c r="I767" s="41"/>
    </row>
    <row r="768">
      <c r="G768" s="39"/>
      <c r="H768" s="40"/>
      <c r="I768" s="41"/>
    </row>
    <row r="769">
      <c r="G769" s="39"/>
      <c r="H769" s="40"/>
      <c r="I769" s="41"/>
    </row>
    <row r="770">
      <c r="G770" s="39"/>
      <c r="H770" s="40"/>
      <c r="I770" s="41"/>
    </row>
    <row r="771">
      <c r="G771" s="39"/>
      <c r="H771" s="40"/>
      <c r="I771" s="41"/>
    </row>
    <row r="772">
      <c r="G772" s="39"/>
      <c r="H772" s="40"/>
      <c r="I772" s="41"/>
    </row>
    <row r="773">
      <c r="G773" s="39"/>
      <c r="H773" s="40"/>
      <c r="I773" s="41"/>
    </row>
    <row r="774">
      <c r="G774" s="39"/>
      <c r="H774" s="40"/>
      <c r="I774" s="41"/>
    </row>
    <row r="775">
      <c r="G775" s="39"/>
      <c r="H775" s="40"/>
      <c r="I775" s="41"/>
    </row>
    <row r="776">
      <c r="G776" s="39"/>
      <c r="H776" s="40"/>
      <c r="I776" s="41"/>
    </row>
    <row r="777">
      <c r="G777" s="39"/>
      <c r="H777" s="40"/>
      <c r="I777" s="41"/>
    </row>
    <row r="778">
      <c r="G778" s="39"/>
      <c r="H778" s="40"/>
      <c r="I778" s="41"/>
    </row>
    <row r="779">
      <c r="G779" s="39"/>
      <c r="H779" s="40"/>
      <c r="I779" s="41"/>
    </row>
    <row r="780">
      <c r="G780" s="39"/>
      <c r="H780" s="40"/>
      <c r="I780" s="41"/>
    </row>
    <row r="781">
      <c r="G781" s="39"/>
      <c r="H781" s="40"/>
      <c r="I781" s="41"/>
    </row>
    <row r="782">
      <c r="G782" s="39"/>
      <c r="H782" s="40"/>
      <c r="I782" s="41"/>
    </row>
    <row r="783">
      <c r="G783" s="39"/>
      <c r="H783" s="40"/>
      <c r="I783" s="41"/>
    </row>
    <row r="784">
      <c r="G784" s="39"/>
      <c r="H784" s="40"/>
      <c r="I784" s="41"/>
    </row>
    <row r="785">
      <c r="G785" s="39"/>
      <c r="H785" s="40"/>
      <c r="I785" s="41"/>
    </row>
    <row r="786">
      <c r="G786" s="39"/>
      <c r="H786" s="40"/>
      <c r="I786" s="41"/>
    </row>
    <row r="787">
      <c r="G787" s="39"/>
      <c r="H787" s="40"/>
      <c r="I787" s="41"/>
    </row>
    <row r="788">
      <c r="G788" s="39"/>
      <c r="H788" s="40"/>
      <c r="I788" s="41"/>
    </row>
    <row r="789">
      <c r="G789" s="39"/>
      <c r="H789" s="40"/>
      <c r="I789" s="41"/>
    </row>
    <row r="790">
      <c r="G790" s="39"/>
      <c r="H790" s="40"/>
      <c r="I790" s="41"/>
    </row>
    <row r="791">
      <c r="G791" s="39"/>
      <c r="H791" s="40"/>
      <c r="I791" s="41"/>
    </row>
    <row r="792">
      <c r="G792" s="39"/>
      <c r="H792" s="40"/>
      <c r="I792" s="41"/>
    </row>
    <row r="793">
      <c r="G793" s="39"/>
      <c r="H793" s="40"/>
      <c r="I793" s="41"/>
    </row>
    <row r="794">
      <c r="G794" s="39"/>
      <c r="H794" s="40"/>
      <c r="I794" s="41"/>
    </row>
    <row r="795">
      <c r="G795" s="39"/>
      <c r="H795" s="40"/>
      <c r="I795" s="41"/>
    </row>
    <row r="796">
      <c r="G796" s="39"/>
      <c r="H796" s="40"/>
      <c r="I796" s="41"/>
    </row>
    <row r="797">
      <c r="G797" s="39"/>
      <c r="H797" s="40"/>
      <c r="I797" s="41"/>
    </row>
    <row r="798">
      <c r="G798" s="39"/>
      <c r="H798" s="40"/>
      <c r="I798" s="41"/>
    </row>
    <row r="799">
      <c r="G799" s="39"/>
      <c r="H799" s="40"/>
      <c r="I799" s="41"/>
    </row>
    <row r="800">
      <c r="G800" s="39"/>
      <c r="H800" s="40"/>
      <c r="I800" s="41"/>
    </row>
    <row r="801">
      <c r="G801" s="39"/>
      <c r="H801" s="40"/>
      <c r="I801" s="41"/>
    </row>
    <row r="802">
      <c r="G802" s="39"/>
      <c r="H802" s="40"/>
      <c r="I802" s="41"/>
    </row>
    <row r="803">
      <c r="G803" s="39"/>
      <c r="H803" s="40"/>
      <c r="I803" s="41"/>
    </row>
    <row r="804">
      <c r="G804" s="39"/>
      <c r="H804" s="40"/>
      <c r="I804" s="41"/>
    </row>
    <row r="805">
      <c r="G805" s="39"/>
      <c r="H805" s="40"/>
      <c r="I805" s="41"/>
    </row>
    <row r="806">
      <c r="G806" s="39"/>
      <c r="H806" s="40"/>
      <c r="I806" s="41"/>
    </row>
    <row r="807">
      <c r="G807" s="39"/>
      <c r="H807" s="40"/>
      <c r="I807" s="41"/>
    </row>
    <row r="808">
      <c r="G808" s="39"/>
      <c r="H808" s="40"/>
      <c r="I808" s="41"/>
    </row>
    <row r="809">
      <c r="G809" s="39"/>
      <c r="H809" s="40"/>
      <c r="I809" s="41"/>
    </row>
    <row r="810">
      <c r="G810" s="39"/>
      <c r="H810" s="40"/>
      <c r="I810" s="41"/>
    </row>
    <row r="811">
      <c r="G811" s="39"/>
      <c r="H811" s="40"/>
      <c r="I811" s="41"/>
    </row>
    <row r="812">
      <c r="G812" s="39"/>
      <c r="H812" s="40"/>
      <c r="I812" s="41"/>
    </row>
    <row r="813">
      <c r="G813" s="39"/>
      <c r="H813" s="40"/>
      <c r="I813" s="41"/>
    </row>
    <row r="814">
      <c r="G814" s="39"/>
      <c r="H814" s="40"/>
      <c r="I814" s="41"/>
    </row>
    <row r="815">
      <c r="G815" s="39"/>
      <c r="H815" s="40"/>
      <c r="I815" s="41"/>
    </row>
    <row r="816">
      <c r="G816" s="39"/>
      <c r="H816" s="40"/>
      <c r="I816" s="41"/>
    </row>
    <row r="817">
      <c r="G817" s="39"/>
      <c r="H817" s="40"/>
      <c r="I817" s="41"/>
    </row>
    <row r="818">
      <c r="G818" s="39"/>
      <c r="H818" s="40"/>
      <c r="I818" s="41"/>
    </row>
    <row r="819">
      <c r="G819" s="39"/>
      <c r="H819" s="40"/>
      <c r="I819" s="41"/>
    </row>
    <row r="820">
      <c r="G820" s="39"/>
      <c r="H820" s="40"/>
      <c r="I820" s="41"/>
    </row>
    <row r="821">
      <c r="G821" s="39"/>
      <c r="H821" s="40"/>
      <c r="I821" s="41"/>
    </row>
    <row r="822">
      <c r="G822" s="39"/>
      <c r="H822" s="40"/>
      <c r="I822" s="41"/>
    </row>
    <row r="823">
      <c r="G823" s="39"/>
      <c r="H823" s="40"/>
      <c r="I823" s="41"/>
    </row>
    <row r="824">
      <c r="G824" s="39"/>
      <c r="H824" s="40"/>
      <c r="I824" s="41"/>
    </row>
    <row r="825">
      <c r="G825" s="39"/>
      <c r="H825" s="40"/>
      <c r="I825" s="41"/>
    </row>
    <row r="826">
      <c r="G826" s="39"/>
      <c r="H826" s="40"/>
      <c r="I826" s="41"/>
    </row>
    <row r="827">
      <c r="G827" s="39"/>
      <c r="H827" s="40"/>
      <c r="I827" s="41"/>
    </row>
    <row r="828">
      <c r="G828" s="39"/>
      <c r="H828" s="40"/>
      <c r="I828" s="41"/>
    </row>
    <row r="829">
      <c r="G829" s="39"/>
      <c r="H829" s="40"/>
      <c r="I829" s="41"/>
    </row>
    <row r="830">
      <c r="G830" s="39"/>
      <c r="H830" s="40"/>
      <c r="I830" s="41"/>
    </row>
    <row r="831">
      <c r="G831" s="39"/>
      <c r="H831" s="40"/>
      <c r="I831" s="41"/>
    </row>
    <row r="832">
      <c r="G832" s="39"/>
      <c r="H832" s="40"/>
      <c r="I832" s="41"/>
    </row>
    <row r="833">
      <c r="G833" s="39"/>
      <c r="H833" s="40"/>
      <c r="I833" s="41"/>
    </row>
    <row r="834">
      <c r="G834" s="39"/>
      <c r="H834" s="40"/>
      <c r="I834" s="41"/>
    </row>
    <row r="835">
      <c r="G835" s="39"/>
      <c r="H835" s="40"/>
      <c r="I835" s="41"/>
    </row>
    <row r="836">
      <c r="G836" s="39"/>
      <c r="H836" s="40"/>
      <c r="I836" s="41"/>
    </row>
    <row r="837">
      <c r="G837" s="39"/>
      <c r="H837" s="40"/>
      <c r="I837" s="41"/>
    </row>
    <row r="838">
      <c r="G838" s="39"/>
      <c r="H838" s="40"/>
      <c r="I838" s="41"/>
    </row>
    <row r="839">
      <c r="G839" s="39"/>
      <c r="H839" s="40"/>
      <c r="I839" s="41"/>
    </row>
    <row r="840">
      <c r="G840" s="39"/>
      <c r="H840" s="40"/>
      <c r="I840" s="41"/>
    </row>
    <row r="841">
      <c r="G841" s="39"/>
      <c r="H841" s="40"/>
      <c r="I841" s="41"/>
    </row>
    <row r="842">
      <c r="G842" s="39"/>
      <c r="H842" s="40"/>
      <c r="I842" s="41"/>
    </row>
    <row r="843">
      <c r="G843" s="39"/>
      <c r="H843" s="40"/>
      <c r="I843" s="41"/>
    </row>
    <row r="844">
      <c r="G844" s="39"/>
      <c r="H844" s="40"/>
      <c r="I844" s="41"/>
    </row>
    <row r="845">
      <c r="G845" s="39"/>
      <c r="H845" s="40"/>
      <c r="I845" s="41"/>
    </row>
    <row r="846">
      <c r="G846" s="39"/>
      <c r="H846" s="40"/>
      <c r="I846" s="41"/>
    </row>
    <row r="847">
      <c r="G847" s="39"/>
      <c r="H847" s="40"/>
      <c r="I847" s="41"/>
    </row>
    <row r="848">
      <c r="G848" s="39"/>
      <c r="H848" s="40"/>
      <c r="I848" s="41"/>
    </row>
    <row r="849">
      <c r="G849" s="39"/>
      <c r="H849" s="40"/>
      <c r="I849" s="41"/>
    </row>
    <row r="850">
      <c r="G850" s="39"/>
      <c r="H850" s="40"/>
      <c r="I850" s="41"/>
    </row>
    <row r="851">
      <c r="G851" s="39"/>
      <c r="H851" s="40"/>
      <c r="I851" s="41"/>
    </row>
    <row r="852">
      <c r="G852" s="39"/>
      <c r="H852" s="40"/>
      <c r="I852" s="41"/>
    </row>
    <row r="853">
      <c r="G853" s="39"/>
      <c r="H853" s="40"/>
      <c r="I853" s="41"/>
    </row>
    <row r="854">
      <c r="G854" s="39"/>
      <c r="H854" s="40"/>
      <c r="I854" s="41"/>
    </row>
    <row r="855">
      <c r="G855" s="39"/>
      <c r="H855" s="40"/>
      <c r="I855" s="41"/>
    </row>
    <row r="856">
      <c r="G856" s="39"/>
      <c r="H856" s="40"/>
      <c r="I856" s="41"/>
    </row>
    <row r="857">
      <c r="G857" s="39"/>
      <c r="H857" s="40"/>
      <c r="I857" s="41"/>
    </row>
    <row r="858">
      <c r="G858" s="39"/>
      <c r="H858" s="40"/>
      <c r="I858" s="41"/>
    </row>
    <row r="859">
      <c r="G859" s="39"/>
      <c r="H859" s="40"/>
      <c r="I859" s="41"/>
    </row>
    <row r="860">
      <c r="G860" s="39"/>
      <c r="H860" s="40"/>
      <c r="I860" s="41"/>
    </row>
    <row r="861">
      <c r="G861" s="39"/>
      <c r="H861" s="40"/>
      <c r="I861" s="41"/>
    </row>
    <row r="862">
      <c r="G862" s="39"/>
      <c r="H862" s="40"/>
      <c r="I862" s="41"/>
    </row>
    <row r="863">
      <c r="G863" s="39"/>
      <c r="H863" s="40"/>
      <c r="I863" s="41"/>
    </row>
    <row r="864">
      <c r="G864" s="39"/>
      <c r="H864" s="40"/>
      <c r="I864" s="41"/>
    </row>
    <row r="865">
      <c r="G865" s="39"/>
      <c r="H865" s="40"/>
      <c r="I865" s="41"/>
    </row>
    <row r="866">
      <c r="G866" s="39"/>
      <c r="H866" s="40"/>
      <c r="I866" s="41"/>
    </row>
    <row r="867">
      <c r="G867" s="39"/>
      <c r="H867" s="40"/>
      <c r="I867" s="41"/>
    </row>
    <row r="868">
      <c r="G868" s="39"/>
      <c r="H868" s="40"/>
      <c r="I868" s="41"/>
    </row>
    <row r="869">
      <c r="G869" s="39"/>
      <c r="H869" s="40"/>
      <c r="I869" s="41"/>
    </row>
    <row r="870">
      <c r="G870" s="39"/>
      <c r="H870" s="40"/>
      <c r="I870" s="41"/>
    </row>
    <row r="871">
      <c r="G871" s="39"/>
      <c r="H871" s="40"/>
      <c r="I871" s="41"/>
    </row>
    <row r="872">
      <c r="G872" s="39"/>
      <c r="H872" s="40"/>
      <c r="I872" s="41"/>
    </row>
    <row r="873">
      <c r="G873" s="39"/>
      <c r="H873" s="40"/>
      <c r="I873" s="41"/>
    </row>
    <row r="874">
      <c r="G874" s="39"/>
      <c r="H874" s="40"/>
      <c r="I874" s="41"/>
    </row>
    <row r="875">
      <c r="G875" s="39"/>
      <c r="H875" s="40"/>
      <c r="I875" s="41"/>
    </row>
    <row r="876">
      <c r="G876" s="39"/>
      <c r="H876" s="40"/>
      <c r="I876" s="41"/>
    </row>
    <row r="877">
      <c r="G877" s="39"/>
      <c r="H877" s="40"/>
      <c r="I877" s="41"/>
    </row>
    <row r="878">
      <c r="G878" s="39"/>
      <c r="H878" s="40"/>
      <c r="I878" s="41"/>
    </row>
    <row r="879">
      <c r="G879" s="39"/>
      <c r="H879" s="40"/>
      <c r="I879" s="41"/>
    </row>
    <row r="880">
      <c r="G880" s="39"/>
      <c r="H880" s="40"/>
      <c r="I880" s="41"/>
    </row>
    <row r="881">
      <c r="G881" s="39"/>
      <c r="H881" s="40"/>
      <c r="I881" s="41"/>
    </row>
    <row r="882">
      <c r="G882" s="39"/>
      <c r="H882" s="40"/>
      <c r="I882" s="41"/>
    </row>
    <row r="883">
      <c r="G883" s="39"/>
      <c r="H883" s="40"/>
      <c r="I883" s="41"/>
    </row>
    <row r="884">
      <c r="G884" s="39"/>
      <c r="H884" s="40"/>
      <c r="I884" s="41"/>
    </row>
    <row r="885">
      <c r="G885" s="39"/>
      <c r="H885" s="40"/>
      <c r="I885" s="41"/>
    </row>
    <row r="886">
      <c r="G886" s="39"/>
      <c r="H886" s="40"/>
      <c r="I886" s="41"/>
    </row>
    <row r="887">
      <c r="G887" s="39"/>
      <c r="H887" s="40"/>
      <c r="I887" s="41"/>
    </row>
    <row r="888">
      <c r="G888" s="39"/>
      <c r="H888" s="40"/>
      <c r="I888" s="41"/>
    </row>
    <row r="889">
      <c r="G889" s="39"/>
      <c r="H889" s="40"/>
      <c r="I889" s="41"/>
    </row>
    <row r="890">
      <c r="G890" s="39"/>
      <c r="H890" s="40"/>
      <c r="I890" s="41"/>
    </row>
    <row r="891">
      <c r="G891" s="39"/>
      <c r="H891" s="40"/>
      <c r="I891" s="41"/>
    </row>
    <row r="892">
      <c r="G892" s="39"/>
      <c r="H892" s="40"/>
      <c r="I892" s="41"/>
    </row>
    <row r="893">
      <c r="G893" s="39"/>
      <c r="H893" s="40"/>
      <c r="I893" s="41"/>
    </row>
    <row r="894">
      <c r="G894" s="39"/>
      <c r="H894" s="40"/>
      <c r="I894" s="41"/>
    </row>
    <row r="895">
      <c r="G895" s="39"/>
      <c r="H895" s="40"/>
      <c r="I895" s="41"/>
    </row>
    <row r="896">
      <c r="G896" s="39"/>
      <c r="H896" s="40"/>
      <c r="I896" s="41"/>
    </row>
    <row r="897">
      <c r="G897" s="39"/>
      <c r="H897" s="40"/>
      <c r="I897" s="41"/>
    </row>
    <row r="898">
      <c r="G898" s="39"/>
      <c r="H898" s="40"/>
      <c r="I898" s="41"/>
    </row>
    <row r="899">
      <c r="G899" s="39"/>
      <c r="H899" s="40"/>
      <c r="I899" s="41"/>
    </row>
    <row r="900">
      <c r="G900" s="39"/>
      <c r="H900" s="40"/>
      <c r="I900" s="41"/>
    </row>
    <row r="901">
      <c r="G901" s="39"/>
      <c r="H901" s="40"/>
      <c r="I901" s="41"/>
    </row>
    <row r="902">
      <c r="G902" s="39"/>
      <c r="H902" s="40"/>
      <c r="I902" s="41"/>
    </row>
    <row r="903">
      <c r="G903" s="39"/>
      <c r="H903" s="40"/>
      <c r="I903" s="41"/>
    </row>
    <row r="904">
      <c r="G904" s="39"/>
      <c r="H904" s="40"/>
      <c r="I904" s="41"/>
    </row>
    <row r="905">
      <c r="G905" s="39"/>
      <c r="H905" s="40"/>
      <c r="I905" s="41"/>
    </row>
    <row r="906">
      <c r="G906" s="39"/>
      <c r="H906" s="40"/>
      <c r="I906" s="41"/>
    </row>
    <row r="907">
      <c r="G907" s="39"/>
      <c r="H907" s="40"/>
      <c r="I907" s="41"/>
    </row>
    <row r="908">
      <c r="G908" s="39"/>
      <c r="H908" s="40"/>
      <c r="I908" s="41"/>
    </row>
    <row r="909">
      <c r="G909" s="39"/>
      <c r="H909" s="40"/>
      <c r="I909" s="41"/>
    </row>
    <row r="910">
      <c r="G910" s="39"/>
      <c r="H910" s="40"/>
      <c r="I910" s="41"/>
    </row>
    <row r="911">
      <c r="G911" s="39"/>
      <c r="H911" s="40"/>
      <c r="I911" s="41"/>
    </row>
    <row r="912">
      <c r="G912" s="39"/>
      <c r="H912" s="40"/>
      <c r="I912" s="41"/>
    </row>
    <row r="913">
      <c r="G913" s="39"/>
      <c r="H913" s="40"/>
      <c r="I913" s="41"/>
    </row>
    <row r="914">
      <c r="G914" s="39"/>
      <c r="H914" s="40"/>
      <c r="I914" s="41"/>
    </row>
    <row r="915">
      <c r="G915" s="39"/>
      <c r="H915" s="40"/>
      <c r="I915" s="41"/>
    </row>
    <row r="916">
      <c r="G916" s="39"/>
      <c r="H916" s="40"/>
      <c r="I916" s="41"/>
    </row>
    <row r="917">
      <c r="G917" s="39"/>
      <c r="H917" s="40"/>
      <c r="I917" s="41"/>
    </row>
    <row r="918">
      <c r="G918" s="39"/>
      <c r="H918" s="40"/>
      <c r="I918" s="41"/>
    </row>
    <row r="919">
      <c r="G919" s="39"/>
      <c r="H919" s="40"/>
      <c r="I919" s="41"/>
    </row>
    <row r="920">
      <c r="G920" s="39"/>
      <c r="H920" s="40"/>
      <c r="I920" s="41"/>
    </row>
    <row r="921">
      <c r="G921" s="39"/>
      <c r="H921" s="40"/>
      <c r="I921" s="41"/>
    </row>
    <row r="922">
      <c r="G922" s="39"/>
      <c r="H922" s="40"/>
      <c r="I922" s="41"/>
    </row>
    <row r="923">
      <c r="G923" s="39"/>
      <c r="H923" s="40"/>
      <c r="I923" s="41"/>
    </row>
    <row r="924">
      <c r="G924" s="39"/>
      <c r="H924" s="40"/>
      <c r="I924" s="41"/>
    </row>
    <row r="925">
      <c r="G925" s="39"/>
      <c r="H925" s="40"/>
      <c r="I925" s="41"/>
    </row>
    <row r="926">
      <c r="G926" s="39"/>
      <c r="H926" s="40"/>
      <c r="I926" s="41"/>
    </row>
    <row r="927">
      <c r="G927" s="39"/>
      <c r="H927" s="40"/>
      <c r="I927" s="41"/>
    </row>
    <row r="928">
      <c r="G928" s="39"/>
      <c r="H928" s="40"/>
      <c r="I928" s="41"/>
    </row>
    <row r="929">
      <c r="G929" s="39"/>
      <c r="H929" s="40"/>
      <c r="I929" s="41"/>
    </row>
    <row r="930">
      <c r="G930" s="39"/>
      <c r="H930" s="40"/>
      <c r="I930" s="41"/>
    </row>
    <row r="931">
      <c r="G931" s="39"/>
      <c r="H931" s="40"/>
      <c r="I931" s="41"/>
    </row>
    <row r="932">
      <c r="G932" s="39"/>
      <c r="H932" s="40"/>
      <c r="I932" s="41"/>
    </row>
    <row r="933">
      <c r="G933" s="39"/>
      <c r="H933" s="40"/>
      <c r="I933" s="41"/>
    </row>
    <row r="934">
      <c r="G934" s="39"/>
      <c r="H934" s="40"/>
      <c r="I934" s="41"/>
    </row>
    <row r="935">
      <c r="G935" s="39"/>
      <c r="H935" s="40"/>
      <c r="I935" s="41"/>
    </row>
    <row r="936">
      <c r="G936" s="39"/>
      <c r="H936" s="40"/>
      <c r="I936" s="41"/>
    </row>
    <row r="937">
      <c r="G937" s="39"/>
      <c r="H937" s="40"/>
      <c r="I937" s="41"/>
    </row>
    <row r="938">
      <c r="G938" s="39"/>
      <c r="H938" s="40"/>
      <c r="I938" s="41"/>
    </row>
    <row r="939">
      <c r="G939" s="39"/>
      <c r="H939" s="40"/>
      <c r="I939" s="41"/>
    </row>
    <row r="940">
      <c r="G940" s="39"/>
      <c r="H940" s="40"/>
      <c r="I940" s="41"/>
    </row>
    <row r="941">
      <c r="G941" s="39"/>
      <c r="H941" s="40"/>
      <c r="I941" s="41"/>
    </row>
    <row r="942">
      <c r="G942" s="39"/>
      <c r="H942" s="40"/>
      <c r="I942" s="41"/>
    </row>
    <row r="943">
      <c r="G943" s="39"/>
      <c r="H943" s="40"/>
      <c r="I943" s="41"/>
    </row>
    <row r="944">
      <c r="G944" s="39"/>
      <c r="H944" s="40"/>
      <c r="I944" s="41"/>
    </row>
    <row r="945">
      <c r="G945" s="39"/>
      <c r="H945" s="40"/>
      <c r="I945" s="41"/>
    </row>
    <row r="946">
      <c r="G946" s="39"/>
      <c r="H946" s="40"/>
      <c r="I946" s="41"/>
    </row>
    <row r="947">
      <c r="G947" s="39"/>
      <c r="H947" s="40"/>
      <c r="I947" s="41"/>
    </row>
    <row r="948">
      <c r="G948" s="39"/>
      <c r="H948" s="40"/>
      <c r="I948" s="41"/>
    </row>
    <row r="949">
      <c r="G949" s="39"/>
      <c r="H949" s="40"/>
      <c r="I949" s="41"/>
    </row>
    <row r="950">
      <c r="G950" s="39"/>
      <c r="H950" s="40"/>
      <c r="I950" s="41"/>
    </row>
    <row r="951">
      <c r="G951" s="39"/>
      <c r="H951" s="40"/>
      <c r="I951" s="41"/>
    </row>
    <row r="952">
      <c r="G952" s="39"/>
      <c r="H952" s="40"/>
      <c r="I952" s="41"/>
    </row>
    <row r="953">
      <c r="G953" s="39"/>
      <c r="H953" s="40"/>
      <c r="I953" s="41"/>
    </row>
    <row r="954">
      <c r="G954" s="39"/>
      <c r="H954" s="40"/>
      <c r="I954" s="41"/>
    </row>
    <row r="955">
      <c r="G955" s="39"/>
      <c r="H955" s="40"/>
      <c r="I955" s="41"/>
    </row>
    <row r="956">
      <c r="G956" s="39"/>
      <c r="H956" s="40"/>
      <c r="I956" s="41"/>
    </row>
    <row r="957">
      <c r="G957" s="39"/>
      <c r="H957" s="40"/>
      <c r="I957" s="41"/>
    </row>
    <row r="958">
      <c r="G958" s="39"/>
      <c r="H958" s="40"/>
      <c r="I958" s="41"/>
    </row>
    <row r="959">
      <c r="G959" s="39"/>
      <c r="H959" s="40"/>
      <c r="I959" s="41"/>
    </row>
    <row r="960">
      <c r="G960" s="39"/>
      <c r="H960" s="40"/>
      <c r="I960" s="41"/>
    </row>
    <row r="961">
      <c r="G961" s="39"/>
      <c r="H961" s="40"/>
      <c r="I961" s="41"/>
    </row>
    <row r="962">
      <c r="G962" s="39"/>
      <c r="H962" s="40"/>
      <c r="I962" s="41"/>
    </row>
    <row r="963">
      <c r="G963" s="39"/>
      <c r="H963" s="40"/>
      <c r="I963" s="41"/>
    </row>
    <row r="964">
      <c r="G964" s="39"/>
      <c r="H964" s="40"/>
      <c r="I964" s="41"/>
    </row>
    <row r="965">
      <c r="G965" s="39"/>
      <c r="H965" s="40"/>
      <c r="I965" s="41"/>
    </row>
    <row r="966">
      <c r="G966" s="39"/>
      <c r="H966" s="40"/>
      <c r="I966" s="41"/>
    </row>
    <row r="967">
      <c r="G967" s="39"/>
      <c r="H967" s="40"/>
      <c r="I967" s="41"/>
    </row>
    <row r="968">
      <c r="G968" s="39"/>
      <c r="H968" s="40"/>
      <c r="I968" s="41"/>
    </row>
    <row r="969">
      <c r="G969" s="39"/>
      <c r="H969" s="40"/>
      <c r="I969" s="41"/>
    </row>
    <row r="970">
      <c r="G970" s="39"/>
      <c r="H970" s="40"/>
      <c r="I970" s="41"/>
    </row>
    <row r="971">
      <c r="G971" s="39"/>
      <c r="H971" s="40"/>
      <c r="I971" s="41"/>
    </row>
    <row r="972">
      <c r="G972" s="39"/>
      <c r="H972" s="40"/>
      <c r="I972" s="41"/>
    </row>
    <row r="973">
      <c r="G973" s="39"/>
      <c r="H973" s="40"/>
      <c r="I973" s="41"/>
    </row>
    <row r="974">
      <c r="G974" s="39"/>
      <c r="H974" s="40"/>
      <c r="I974" s="41"/>
    </row>
    <row r="975">
      <c r="G975" s="39"/>
      <c r="H975" s="40"/>
      <c r="I975" s="41"/>
    </row>
    <row r="976">
      <c r="G976" s="39"/>
      <c r="H976" s="40"/>
      <c r="I976" s="41"/>
    </row>
    <row r="977">
      <c r="G977" s="39"/>
      <c r="H977" s="40"/>
      <c r="I977" s="41"/>
    </row>
    <row r="978">
      <c r="G978" s="39"/>
      <c r="H978" s="40"/>
      <c r="I978" s="41"/>
    </row>
    <row r="979">
      <c r="G979" s="39"/>
      <c r="H979" s="40"/>
      <c r="I979" s="41"/>
    </row>
    <row r="980">
      <c r="G980" s="39"/>
      <c r="H980" s="40"/>
      <c r="I980" s="41"/>
    </row>
    <row r="981">
      <c r="G981" s="39"/>
      <c r="H981" s="40"/>
      <c r="I981" s="41"/>
    </row>
    <row r="982">
      <c r="G982" s="39"/>
      <c r="H982" s="40"/>
      <c r="I982" s="41"/>
    </row>
    <row r="983">
      <c r="G983" s="39"/>
      <c r="H983" s="40"/>
      <c r="I983" s="41"/>
    </row>
    <row r="984">
      <c r="G984" s="39"/>
      <c r="H984" s="40"/>
      <c r="I984" s="41"/>
    </row>
    <row r="985">
      <c r="G985" s="39"/>
      <c r="H985" s="40"/>
      <c r="I985" s="41"/>
    </row>
    <row r="986">
      <c r="G986" s="39"/>
      <c r="H986" s="40"/>
      <c r="I986" s="41"/>
    </row>
    <row r="987">
      <c r="G987" s="39"/>
      <c r="H987" s="40"/>
      <c r="I987" s="41"/>
    </row>
    <row r="988">
      <c r="G988" s="39"/>
      <c r="H988" s="40"/>
      <c r="I988" s="41"/>
    </row>
    <row r="989">
      <c r="G989" s="39"/>
      <c r="H989" s="40"/>
      <c r="I989" s="41"/>
    </row>
    <row r="990">
      <c r="G990" s="39"/>
      <c r="H990" s="40"/>
      <c r="I990" s="41"/>
    </row>
    <row r="991">
      <c r="G991" s="39"/>
      <c r="H991" s="40"/>
      <c r="I991" s="41"/>
    </row>
    <row r="992">
      <c r="G992" s="39"/>
      <c r="H992" s="40"/>
      <c r="I992" s="41"/>
    </row>
    <row r="993">
      <c r="G993" s="39"/>
      <c r="H993" s="40"/>
      <c r="I993" s="41"/>
    </row>
    <row r="994">
      <c r="G994" s="39"/>
      <c r="H994" s="40"/>
      <c r="I994" s="41"/>
    </row>
    <row r="995">
      <c r="G995" s="39"/>
      <c r="H995" s="40"/>
      <c r="I995" s="41"/>
    </row>
    <row r="996">
      <c r="G996" s="39"/>
      <c r="H996" s="40"/>
      <c r="I996" s="41"/>
    </row>
    <row r="997">
      <c r="G997" s="39"/>
      <c r="H997" s="40"/>
      <c r="I997" s="41"/>
    </row>
    <row r="998">
      <c r="G998" s="39"/>
      <c r="H998" s="40"/>
      <c r="I998" s="41"/>
    </row>
    <row r="999">
      <c r="G999" s="39"/>
      <c r="H999" s="40"/>
      <c r="I999" s="41"/>
    </row>
    <row r="1000">
      <c r="G1000" s="39"/>
      <c r="H1000" s="40"/>
      <c r="I1000" s="4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45</v>
      </c>
      <c r="B1" s="44"/>
      <c r="C1" s="44"/>
      <c r="D1" s="44"/>
      <c r="E1" s="44"/>
      <c r="F1" s="44"/>
      <c r="G1" s="44"/>
      <c r="H1" s="44"/>
      <c r="I1" s="44"/>
      <c r="J1" s="45"/>
      <c r="K1" s="46"/>
      <c r="L1" s="47"/>
      <c r="M1" s="48" t="s">
        <v>46</v>
      </c>
      <c r="N1" s="44"/>
      <c r="O1" s="44"/>
      <c r="P1" s="44"/>
      <c r="Q1" s="44"/>
      <c r="R1" s="44"/>
      <c r="S1" s="44"/>
      <c r="T1" s="44"/>
      <c r="U1" s="45"/>
      <c r="V1" s="47"/>
      <c r="W1" s="48" t="s">
        <v>47</v>
      </c>
      <c r="X1" s="44"/>
      <c r="Y1" s="44"/>
      <c r="Z1" s="44"/>
      <c r="AA1" s="44"/>
      <c r="AB1" s="44"/>
      <c r="AC1" s="44"/>
      <c r="AD1" s="44"/>
      <c r="AE1" s="45"/>
    </row>
    <row r="2">
      <c r="A2" s="49" t="s">
        <v>24</v>
      </c>
      <c r="B2" s="49" t="s">
        <v>2</v>
      </c>
      <c r="C2" s="50" t="s">
        <v>48</v>
      </c>
      <c r="D2" s="50" t="s">
        <v>49</v>
      </c>
      <c r="E2" s="51"/>
      <c r="F2" s="52" t="s">
        <v>5</v>
      </c>
      <c r="G2" s="53" t="s">
        <v>50</v>
      </c>
      <c r="H2" s="54" t="s">
        <v>26</v>
      </c>
      <c r="I2" s="55" t="s">
        <v>27</v>
      </c>
      <c r="J2" s="54" t="s">
        <v>28</v>
      </c>
      <c r="K2" s="46"/>
      <c r="L2" s="47"/>
      <c r="M2" s="56" t="s">
        <v>24</v>
      </c>
      <c r="N2" s="56" t="s">
        <v>2</v>
      </c>
      <c r="O2" s="56" t="s">
        <v>3</v>
      </c>
      <c r="P2" s="57" t="s">
        <v>51</v>
      </c>
      <c r="Q2" s="56" t="s">
        <v>5</v>
      </c>
      <c r="R2" s="53" t="s">
        <v>50</v>
      </c>
      <c r="S2" s="54" t="s">
        <v>26</v>
      </c>
      <c r="T2" s="55" t="s">
        <v>27</v>
      </c>
      <c r="U2" s="54" t="s">
        <v>28</v>
      </c>
      <c r="V2" s="47"/>
      <c r="W2" s="56" t="s">
        <v>24</v>
      </c>
      <c r="X2" s="56" t="s">
        <v>2</v>
      </c>
      <c r="Y2" s="56" t="s">
        <v>3</v>
      </c>
      <c r="Z2" s="57" t="s">
        <v>52</v>
      </c>
      <c r="AA2" s="56" t="s">
        <v>5</v>
      </c>
      <c r="AB2" s="53" t="s">
        <v>50</v>
      </c>
      <c r="AC2" s="54" t="s">
        <v>26</v>
      </c>
      <c r="AD2" s="55" t="s">
        <v>27</v>
      </c>
      <c r="AE2" s="54" t="s">
        <v>28</v>
      </c>
    </row>
    <row r="3">
      <c r="A3" s="58" t="s">
        <v>31</v>
      </c>
      <c r="B3" s="59">
        <v>2842.0</v>
      </c>
      <c r="C3" s="59">
        <v>3593.0</v>
      </c>
      <c r="D3" s="59">
        <v>1.8866045E7</v>
      </c>
      <c r="E3" s="60"/>
      <c r="F3" s="60">
        <v>9389215.0</v>
      </c>
      <c r="G3" s="61">
        <v>1.0</v>
      </c>
      <c r="H3" s="62">
        <f t="shared" ref="H3:H16" si="2">D3/B3</f>
        <v>6638.298733</v>
      </c>
      <c r="I3" s="46">
        <f t="shared" ref="I3:J3" si="1">C3/B3</f>
        <v>1.264250528</v>
      </c>
      <c r="J3" s="62">
        <f t="shared" si="1"/>
        <v>5250.777901</v>
      </c>
      <c r="K3" s="46"/>
      <c r="L3" s="47"/>
      <c r="M3" s="47"/>
      <c r="N3" s="62"/>
      <c r="O3" s="62"/>
      <c r="P3" s="59">
        <v>0.0</v>
      </c>
      <c r="Q3" s="59">
        <v>0.0</v>
      </c>
      <c r="R3" s="59"/>
      <c r="S3" s="59"/>
      <c r="T3" s="59"/>
      <c r="U3" s="59"/>
      <c r="V3" s="47"/>
      <c r="W3" s="47"/>
      <c r="X3" s="62"/>
      <c r="Y3" s="62"/>
      <c r="Z3" s="59">
        <v>0.0</v>
      </c>
      <c r="AA3" s="59">
        <v>0.0</v>
      </c>
      <c r="AB3" s="63"/>
      <c r="AC3" s="63"/>
      <c r="AD3" s="63"/>
      <c r="AE3" s="63"/>
    </row>
    <row r="4">
      <c r="A4" s="58" t="s">
        <v>32</v>
      </c>
      <c r="B4" s="59">
        <v>529.0</v>
      </c>
      <c r="C4" s="59">
        <v>818.0</v>
      </c>
      <c r="D4" s="59">
        <v>4377010.0</v>
      </c>
      <c r="E4" s="60"/>
      <c r="F4" s="60">
        <v>2173325.0</v>
      </c>
      <c r="G4" s="64">
        <f t="shared" ref="G4:G16" si="5">B4/$B$3</f>
        <v>0.1861365236</v>
      </c>
      <c r="H4" s="62">
        <f t="shared" si="2"/>
        <v>8274.120983</v>
      </c>
      <c r="I4" s="46">
        <f t="shared" ref="I4:J4" si="3">C4/B4</f>
        <v>1.5463138</v>
      </c>
      <c r="J4" s="62">
        <f t="shared" si="3"/>
        <v>5350.867971</v>
      </c>
      <c r="K4" s="46"/>
      <c r="L4" s="47"/>
      <c r="M4" s="58" t="s">
        <v>32</v>
      </c>
      <c r="N4" s="59">
        <v>6161.0</v>
      </c>
      <c r="O4" s="59">
        <v>7980.0</v>
      </c>
      <c r="P4" s="59">
        <v>5.0815985E7</v>
      </c>
      <c r="Q4" s="59">
        <v>2.616405E7</v>
      </c>
      <c r="R4" s="65">
        <v>1.0</v>
      </c>
      <c r="S4" s="59">
        <f t="shared" ref="S4:S16" si="7">P4/N4</f>
        <v>8248.009252</v>
      </c>
      <c r="T4" s="66">
        <f t="shared" ref="T4:U4" si="4">O4/N4</f>
        <v>1.295244279</v>
      </c>
      <c r="U4" s="59">
        <f t="shared" si="4"/>
        <v>6367.91792</v>
      </c>
      <c r="V4" s="47"/>
      <c r="W4" s="47"/>
      <c r="X4" s="62"/>
      <c r="Y4" s="62"/>
      <c r="Z4" s="59">
        <v>0.0</v>
      </c>
      <c r="AA4" s="59">
        <v>0.0</v>
      </c>
      <c r="AB4" s="63"/>
      <c r="AC4" s="63"/>
      <c r="AD4" s="63"/>
      <c r="AE4" s="63"/>
    </row>
    <row r="5">
      <c r="A5" s="58" t="s">
        <v>33</v>
      </c>
      <c r="B5" s="59">
        <v>237.0</v>
      </c>
      <c r="C5" s="59">
        <v>325.0</v>
      </c>
      <c r="D5" s="59">
        <v>1908940.0</v>
      </c>
      <c r="E5" s="60"/>
      <c r="F5" s="60">
        <v>942755.0</v>
      </c>
      <c r="G5" s="64">
        <f t="shared" si="5"/>
        <v>0.08339197748</v>
      </c>
      <c r="H5" s="62">
        <f t="shared" si="2"/>
        <v>8054.599156</v>
      </c>
      <c r="I5" s="46">
        <f t="shared" ref="I5:J5" si="6">C5/B5</f>
        <v>1.371308017</v>
      </c>
      <c r="J5" s="62">
        <f t="shared" si="6"/>
        <v>5873.661538</v>
      </c>
      <c r="K5" s="46"/>
      <c r="L5" s="47"/>
      <c r="M5" s="58" t="s">
        <v>33</v>
      </c>
      <c r="N5" s="59">
        <v>619.0</v>
      </c>
      <c r="O5" s="59">
        <v>939.0</v>
      </c>
      <c r="P5" s="59">
        <v>5396435.0</v>
      </c>
      <c r="Q5" s="59">
        <v>2596110.0</v>
      </c>
      <c r="R5" s="67">
        <f t="shared" ref="R5:R16" si="10">N5/$N$4</f>
        <v>0.1004707028</v>
      </c>
      <c r="S5" s="59">
        <f t="shared" si="7"/>
        <v>8717.988691</v>
      </c>
      <c r="T5" s="66">
        <f t="shared" ref="T5:U5" si="8">O5/N5</f>
        <v>1.516962843</v>
      </c>
      <c r="U5" s="59">
        <f t="shared" si="8"/>
        <v>5747.00213</v>
      </c>
      <c r="V5" s="47"/>
      <c r="W5" s="47"/>
      <c r="X5" s="62"/>
      <c r="Y5" s="62"/>
      <c r="Z5" s="59">
        <v>0.0</v>
      </c>
      <c r="AA5" s="59">
        <v>0.0</v>
      </c>
      <c r="AB5" s="63"/>
      <c r="AC5" s="63"/>
      <c r="AD5" s="63"/>
      <c r="AE5" s="63"/>
    </row>
    <row r="6">
      <c r="A6" s="58" t="s">
        <v>34</v>
      </c>
      <c r="B6" s="59">
        <v>318.0</v>
      </c>
      <c r="C6" s="59">
        <v>467.0</v>
      </c>
      <c r="D6" s="59">
        <v>2357300.0</v>
      </c>
      <c r="E6" s="60"/>
      <c r="F6" s="60">
        <v>1154450.0</v>
      </c>
      <c r="G6" s="64">
        <f t="shared" si="5"/>
        <v>0.1118930331</v>
      </c>
      <c r="H6" s="62">
        <f t="shared" si="2"/>
        <v>7412.893082</v>
      </c>
      <c r="I6" s="46">
        <f t="shared" ref="I6:J6" si="9">C6/B6</f>
        <v>1.468553459</v>
      </c>
      <c r="J6" s="62">
        <f t="shared" si="9"/>
        <v>5047.751606</v>
      </c>
      <c r="K6" s="46"/>
      <c r="L6" s="47"/>
      <c r="M6" s="58" t="s">
        <v>34</v>
      </c>
      <c r="N6" s="59">
        <v>546.0</v>
      </c>
      <c r="O6" s="59">
        <v>855.0</v>
      </c>
      <c r="P6" s="59">
        <v>4014505.0</v>
      </c>
      <c r="Q6" s="59">
        <v>1990010.0</v>
      </c>
      <c r="R6" s="67">
        <f t="shared" si="10"/>
        <v>0.08862197695</v>
      </c>
      <c r="S6" s="59">
        <f t="shared" si="7"/>
        <v>7352.57326</v>
      </c>
      <c r="T6" s="66">
        <f t="shared" ref="T6:U6" si="11">O6/N6</f>
        <v>1.565934066</v>
      </c>
      <c r="U6" s="59">
        <f t="shared" si="11"/>
        <v>4695.327485</v>
      </c>
      <c r="V6" s="47"/>
      <c r="W6" s="47"/>
      <c r="X6" s="62"/>
      <c r="Y6" s="62"/>
      <c r="Z6" s="59">
        <v>0.0</v>
      </c>
      <c r="AA6" s="59">
        <v>0.0</v>
      </c>
      <c r="AB6" s="63"/>
      <c r="AC6" s="63"/>
      <c r="AD6" s="63"/>
      <c r="AE6" s="63"/>
    </row>
    <row r="7">
      <c r="A7" s="58" t="s">
        <v>35</v>
      </c>
      <c r="B7" s="59">
        <v>317.0</v>
      </c>
      <c r="C7" s="59">
        <v>468.0</v>
      </c>
      <c r="D7" s="59">
        <v>2213530.0</v>
      </c>
      <c r="E7" s="60"/>
      <c r="F7" s="60">
        <v>1063370.0</v>
      </c>
      <c r="G7" s="64">
        <f t="shared" si="5"/>
        <v>0.1115411682</v>
      </c>
      <c r="H7" s="62">
        <f t="shared" si="2"/>
        <v>6982.744479</v>
      </c>
      <c r="I7" s="46">
        <f t="shared" ref="I7:J7" si="12">C7/B7</f>
        <v>1.476340694</v>
      </c>
      <c r="J7" s="62">
        <f t="shared" si="12"/>
        <v>4729.764957</v>
      </c>
      <c r="K7" s="46"/>
      <c r="L7" s="47"/>
      <c r="M7" s="58" t="s">
        <v>35</v>
      </c>
      <c r="N7" s="59">
        <v>451.0</v>
      </c>
      <c r="O7" s="59">
        <v>696.0</v>
      </c>
      <c r="P7" s="59">
        <v>3515930.0</v>
      </c>
      <c r="Q7" s="59">
        <v>1742015.0</v>
      </c>
      <c r="R7" s="67">
        <f t="shared" si="10"/>
        <v>0.07320240221</v>
      </c>
      <c r="S7" s="59">
        <f t="shared" si="7"/>
        <v>7795.853659</v>
      </c>
      <c r="T7" s="66">
        <f t="shared" ref="T7:U7" si="13">O7/N7</f>
        <v>1.543237251</v>
      </c>
      <c r="U7" s="59">
        <f t="shared" si="13"/>
        <v>5051.623563</v>
      </c>
      <c r="V7" s="47"/>
      <c r="W7" s="47"/>
      <c r="X7" s="62"/>
      <c r="Y7" s="62"/>
      <c r="Z7" s="59">
        <v>0.0</v>
      </c>
      <c r="AA7" s="59">
        <v>0.0</v>
      </c>
      <c r="AB7" s="63"/>
      <c r="AC7" s="63"/>
      <c r="AD7" s="63"/>
      <c r="AE7" s="63"/>
    </row>
    <row r="8">
      <c r="A8" s="58" t="s">
        <v>36</v>
      </c>
      <c r="B8" s="59">
        <v>366.0</v>
      </c>
      <c r="C8" s="59">
        <v>615.0</v>
      </c>
      <c r="D8" s="59">
        <v>3017685.0</v>
      </c>
      <c r="E8" s="60"/>
      <c r="F8" s="60">
        <v>1435610.0</v>
      </c>
      <c r="G8" s="64">
        <f t="shared" si="5"/>
        <v>0.1287825475</v>
      </c>
      <c r="H8" s="62">
        <f t="shared" si="2"/>
        <v>8245.040984</v>
      </c>
      <c r="I8" s="46">
        <f t="shared" ref="I8:J8" si="14">C8/B8</f>
        <v>1.680327869</v>
      </c>
      <c r="J8" s="62">
        <f t="shared" si="14"/>
        <v>4906.804878</v>
      </c>
      <c r="K8" s="46"/>
      <c r="L8" s="47"/>
      <c r="M8" s="58" t="s">
        <v>36</v>
      </c>
      <c r="N8" s="59">
        <v>939.0</v>
      </c>
      <c r="O8" s="59">
        <v>1579.0</v>
      </c>
      <c r="P8" s="59">
        <v>8754185.0</v>
      </c>
      <c r="Q8" s="59">
        <v>4264700.0</v>
      </c>
      <c r="R8" s="67">
        <f t="shared" si="10"/>
        <v>0.152410323</v>
      </c>
      <c r="S8" s="59">
        <f t="shared" si="7"/>
        <v>9322.880724</v>
      </c>
      <c r="T8" s="66">
        <f t="shared" ref="T8:U8" si="15">O8/N8</f>
        <v>1.681576145</v>
      </c>
      <c r="U8" s="59">
        <f t="shared" si="15"/>
        <v>5544.132362</v>
      </c>
      <c r="V8" s="47"/>
      <c r="W8" s="58" t="s">
        <v>36</v>
      </c>
      <c r="X8" s="59">
        <v>5881.0</v>
      </c>
      <c r="Y8" s="59">
        <v>7651.0</v>
      </c>
      <c r="Z8" s="59">
        <v>4.608989E7</v>
      </c>
      <c r="AA8" s="59">
        <v>2.257783E7</v>
      </c>
      <c r="AB8" s="6">
        <v>1.0</v>
      </c>
      <c r="AC8" s="38">
        <f t="shared" ref="AC8:AC16" si="19">Z8/X8</f>
        <v>7837.083829</v>
      </c>
      <c r="AD8" s="36">
        <f t="shared" ref="AD8:AE8" si="16">Y8/X8</f>
        <v>1.300969223</v>
      </c>
      <c r="AE8" s="38">
        <f t="shared" si="16"/>
        <v>6024.034767</v>
      </c>
    </row>
    <row r="9">
      <c r="A9" s="58" t="s">
        <v>37</v>
      </c>
      <c r="B9" s="59">
        <v>234.0</v>
      </c>
      <c r="C9" s="59">
        <v>339.0</v>
      </c>
      <c r="D9" s="59">
        <v>1575365.0</v>
      </c>
      <c r="E9" s="60"/>
      <c r="F9" s="60">
        <v>740795.0</v>
      </c>
      <c r="G9" s="64">
        <f t="shared" si="5"/>
        <v>0.08233638283</v>
      </c>
      <c r="H9" s="62">
        <f t="shared" si="2"/>
        <v>6732.32906</v>
      </c>
      <c r="I9" s="46">
        <f t="shared" ref="I9:J9" si="17">C9/B9</f>
        <v>1.448717949</v>
      </c>
      <c r="J9" s="62">
        <f t="shared" si="17"/>
        <v>4647.094395</v>
      </c>
      <c r="K9" s="46"/>
      <c r="L9" s="47"/>
      <c r="M9" s="58" t="s">
        <v>37</v>
      </c>
      <c r="N9" s="59">
        <v>418.0</v>
      </c>
      <c r="O9" s="59">
        <v>687.0</v>
      </c>
      <c r="P9" s="59">
        <v>3430020.0</v>
      </c>
      <c r="Q9" s="59">
        <v>1596375.0</v>
      </c>
      <c r="R9" s="67">
        <f t="shared" si="10"/>
        <v>0.06784612888</v>
      </c>
      <c r="S9" s="59">
        <f t="shared" si="7"/>
        <v>8205.789474</v>
      </c>
      <c r="T9" s="66">
        <f t="shared" ref="T9:U9" si="18">O9/N9</f>
        <v>1.64354067</v>
      </c>
      <c r="U9" s="59">
        <f t="shared" si="18"/>
        <v>4992.751092</v>
      </c>
      <c r="V9" s="47"/>
      <c r="W9" s="58" t="s">
        <v>37</v>
      </c>
      <c r="X9" s="59">
        <v>690.0</v>
      </c>
      <c r="Y9" s="59">
        <v>1011.0</v>
      </c>
      <c r="Z9" s="59">
        <v>5531845.0</v>
      </c>
      <c r="AA9" s="59">
        <v>2540340.0</v>
      </c>
      <c r="AB9" s="35">
        <f t="shared" ref="AB9:AB16" si="23">X9/$X$8</f>
        <v>0.1173269852</v>
      </c>
      <c r="AC9" s="38">
        <f t="shared" si="19"/>
        <v>8017.166667</v>
      </c>
      <c r="AD9" s="36">
        <f t="shared" ref="AD9:AE9" si="20">Y9/X9</f>
        <v>1.465217391</v>
      </c>
      <c r="AE9" s="38">
        <f t="shared" si="20"/>
        <v>5471.656775</v>
      </c>
    </row>
    <row r="10">
      <c r="A10" s="58" t="s">
        <v>38</v>
      </c>
      <c r="B10" s="59">
        <v>254.0</v>
      </c>
      <c r="C10" s="59">
        <v>408.0</v>
      </c>
      <c r="D10" s="59">
        <v>1804770.0</v>
      </c>
      <c r="E10" s="60"/>
      <c r="F10" s="60">
        <v>868560.0</v>
      </c>
      <c r="G10" s="64">
        <f t="shared" si="5"/>
        <v>0.08937368051</v>
      </c>
      <c r="H10" s="62">
        <f t="shared" si="2"/>
        <v>7105.393701</v>
      </c>
      <c r="I10" s="46">
        <f t="shared" ref="I10:J10" si="21">C10/B10</f>
        <v>1.606299213</v>
      </c>
      <c r="J10" s="62">
        <f t="shared" si="21"/>
        <v>4423.455882</v>
      </c>
      <c r="K10" s="46"/>
      <c r="L10" s="47"/>
      <c r="M10" s="58" t="s">
        <v>38</v>
      </c>
      <c r="N10" s="59">
        <v>442.0</v>
      </c>
      <c r="O10" s="59">
        <v>738.0</v>
      </c>
      <c r="P10" s="59">
        <v>3375460.0</v>
      </c>
      <c r="Q10" s="59">
        <v>1614635.0</v>
      </c>
      <c r="R10" s="67">
        <f t="shared" si="10"/>
        <v>0.07174160039</v>
      </c>
      <c r="S10" s="59">
        <f t="shared" si="7"/>
        <v>7636.78733</v>
      </c>
      <c r="T10" s="66">
        <f t="shared" ref="T10:U10" si="22">O10/N10</f>
        <v>1.669683258</v>
      </c>
      <c r="U10" s="59">
        <f t="shared" si="22"/>
        <v>4573.794038</v>
      </c>
      <c r="V10" s="47"/>
      <c r="W10" s="58" t="s">
        <v>38</v>
      </c>
      <c r="X10" s="59">
        <v>473.0</v>
      </c>
      <c r="Y10" s="59">
        <v>675.0</v>
      </c>
      <c r="Z10" s="59">
        <v>3571370.0</v>
      </c>
      <c r="AA10" s="59">
        <v>1677170.0</v>
      </c>
      <c r="AB10" s="35">
        <f t="shared" si="23"/>
        <v>0.08042849855</v>
      </c>
      <c r="AC10" s="38">
        <f t="shared" si="19"/>
        <v>7550.465116</v>
      </c>
      <c r="AD10" s="36">
        <f t="shared" ref="AD10:AE10" si="24">Y10/X10</f>
        <v>1.427061311</v>
      </c>
      <c r="AE10" s="38">
        <f t="shared" si="24"/>
        <v>5290.918519</v>
      </c>
    </row>
    <row r="11">
      <c r="A11" s="58" t="s">
        <v>39</v>
      </c>
      <c r="B11" s="59">
        <v>269.0</v>
      </c>
      <c r="C11" s="59">
        <v>385.0</v>
      </c>
      <c r="D11" s="59">
        <v>1582735.0</v>
      </c>
      <c r="E11" s="60"/>
      <c r="F11" s="60">
        <v>742940.0</v>
      </c>
      <c r="G11" s="64">
        <f t="shared" si="5"/>
        <v>0.09465165376</v>
      </c>
      <c r="H11" s="62">
        <f t="shared" si="2"/>
        <v>5883.773234</v>
      </c>
      <c r="I11" s="46">
        <f t="shared" ref="I11:J11" si="25">C11/B11</f>
        <v>1.431226766</v>
      </c>
      <c r="J11" s="62">
        <f t="shared" si="25"/>
        <v>4111</v>
      </c>
      <c r="K11" s="46"/>
      <c r="L11" s="47"/>
      <c r="M11" s="58" t="s">
        <v>39</v>
      </c>
      <c r="N11" s="59">
        <v>430.0</v>
      </c>
      <c r="O11" s="59">
        <v>731.0</v>
      </c>
      <c r="P11" s="59">
        <v>3476385.0</v>
      </c>
      <c r="Q11" s="59">
        <v>1640210.0</v>
      </c>
      <c r="R11" s="67">
        <f t="shared" si="10"/>
        <v>0.06979386463</v>
      </c>
      <c r="S11" s="59">
        <f t="shared" si="7"/>
        <v>8084.616279</v>
      </c>
      <c r="T11" s="66">
        <f t="shared" ref="T11:U11" si="26">O11/N11</f>
        <v>1.7</v>
      </c>
      <c r="U11" s="59">
        <f t="shared" si="26"/>
        <v>4755.656635</v>
      </c>
      <c r="V11" s="47"/>
      <c r="W11" s="58" t="s">
        <v>39</v>
      </c>
      <c r="X11" s="59">
        <v>420.0</v>
      </c>
      <c r="Y11" s="59">
        <v>601.0</v>
      </c>
      <c r="Z11" s="59">
        <v>2838000.0</v>
      </c>
      <c r="AA11" s="59">
        <v>1371040.0</v>
      </c>
      <c r="AB11" s="35">
        <f t="shared" si="23"/>
        <v>0.07141642578</v>
      </c>
      <c r="AC11" s="38">
        <f t="shared" si="19"/>
        <v>6757.142857</v>
      </c>
      <c r="AD11" s="36">
        <f t="shared" ref="AD11:AE11" si="27">Y11/X11</f>
        <v>1.430952381</v>
      </c>
      <c r="AE11" s="38">
        <f t="shared" si="27"/>
        <v>4722.129784</v>
      </c>
    </row>
    <row r="12">
      <c r="A12" s="58" t="s">
        <v>40</v>
      </c>
      <c r="B12" s="59">
        <v>358.0</v>
      </c>
      <c r="C12" s="59">
        <v>625.0</v>
      </c>
      <c r="D12" s="59">
        <v>3222065.0</v>
      </c>
      <c r="E12" s="60"/>
      <c r="F12" s="60">
        <v>1519155.0</v>
      </c>
      <c r="G12" s="64">
        <f t="shared" si="5"/>
        <v>0.1259676284</v>
      </c>
      <c r="H12" s="62">
        <f t="shared" si="2"/>
        <v>9000.181564</v>
      </c>
      <c r="I12" s="46">
        <f t="shared" ref="I12:J12" si="28">C12/B12</f>
        <v>1.745810056</v>
      </c>
      <c r="J12" s="62">
        <f t="shared" si="28"/>
        <v>5155.304</v>
      </c>
      <c r="K12" s="46"/>
      <c r="L12" s="47"/>
      <c r="M12" s="58" t="s">
        <v>40</v>
      </c>
      <c r="N12" s="59">
        <v>885.0</v>
      </c>
      <c r="O12" s="59">
        <v>1542.0</v>
      </c>
      <c r="P12" s="59">
        <v>8510590.0</v>
      </c>
      <c r="Q12" s="59">
        <v>4095850.0</v>
      </c>
      <c r="R12" s="67">
        <f t="shared" si="10"/>
        <v>0.1436455121</v>
      </c>
      <c r="S12" s="59">
        <f t="shared" si="7"/>
        <v>9616.485876</v>
      </c>
      <c r="T12" s="66">
        <f t="shared" ref="T12:U12" si="29">O12/N12</f>
        <v>1.742372881</v>
      </c>
      <c r="U12" s="59">
        <f t="shared" si="29"/>
        <v>5519.189364</v>
      </c>
      <c r="V12" s="47"/>
      <c r="W12" s="58" t="s">
        <v>40</v>
      </c>
      <c r="X12" s="59">
        <v>999.0</v>
      </c>
      <c r="Y12" s="59">
        <v>1660.0</v>
      </c>
      <c r="Z12" s="59">
        <v>8927160.0</v>
      </c>
      <c r="AA12" s="59">
        <v>4306665.0</v>
      </c>
      <c r="AB12" s="35">
        <f t="shared" si="23"/>
        <v>0.1698690699</v>
      </c>
      <c r="AC12" s="38">
        <f t="shared" si="19"/>
        <v>8936.096096</v>
      </c>
      <c r="AD12" s="36">
        <f t="shared" ref="AD12:AE12" si="30">Y12/X12</f>
        <v>1.661661662</v>
      </c>
      <c r="AE12" s="38">
        <f t="shared" si="30"/>
        <v>5377.807229</v>
      </c>
    </row>
    <row r="13">
      <c r="A13" s="58" t="s">
        <v>41</v>
      </c>
      <c r="B13" s="59">
        <v>220.0</v>
      </c>
      <c r="C13" s="59">
        <v>323.0</v>
      </c>
      <c r="D13" s="59">
        <v>1638945.0</v>
      </c>
      <c r="E13" s="60"/>
      <c r="F13" s="60">
        <v>766755.0</v>
      </c>
      <c r="G13" s="64">
        <f t="shared" si="5"/>
        <v>0.07741027445</v>
      </c>
      <c r="H13" s="62">
        <f t="shared" si="2"/>
        <v>7449.75</v>
      </c>
      <c r="I13" s="46">
        <f t="shared" ref="I13:J13" si="31">C13/B13</f>
        <v>1.468181818</v>
      </c>
      <c r="J13" s="62">
        <f t="shared" si="31"/>
        <v>5074.133127</v>
      </c>
      <c r="K13" s="46"/>
      <c r="L13" s="47"/>
      <c r="M13" s="58" t="s">
        <v>41</v>
      </c>
      <c r="N13" s="59">
        <v>381.0</v>
      </c>
      <c r="O13" s="59">
        <v>625.0</v>
      </c>
      <c r="P13" s="59">
        <v>3439535.0</v>
      </c>
      <c r="Q13" s="59">
        <v>1651705.0</v>
      </c>
      <c r="R13" s="67">
        <f t="shared" si="10"/>
        <v>0.06184061029</v>
      </c>
      <c r="S13" s="59">
        <f t="shared" si="7"/>
        <v>9027.650919</v>
      </c>
      <c r="T13" s="66">
        <f t="shared" ref="T13:U13" si="32">O13/N13</f>
        <v>1.640419948</v>
      </c>
      <c r="U13" s="59">
        <f t="shared" si="32"/>
        <v>5503.256</v>
      </c>
      <c r="V13" s="47"/>
      <c r="W13" s="58" t="s">
        <v>41</v>
      </c>
      <c r="X13" s="59">
        <v>387.0</v>
      </c>
      <c r="Y13" s="59">
        <v>562.0</v>
      </c>
      <c r="Z13" s="59">
        <v>3135275.0</v>
      </c>
      <c r="AA13" s="59">
        <v>1509805.0</v>
      </c>
      <c r="AB13" s="35">
        <f t="shared" si="23"/>
        <v>0.06580513518</v>
      </c>
      <c r="AC13" s="38">
        <f t="shared" si="19"/>
        <v>8101.485788</v>
      </c>
      <c r="AD13" s="36">
        <f t="shared" ref="AD13:AE13" si="33">Y13/X13</f>
        <v>1.452196382</v>
      </c>
      <c r="AE13" s="38">
        <f t="shared" si="33"/>
        <v>5578.781139</v>
      </c>
    </row>
    <row r="14">
      <c r="A14" s="58" t="s">
        <v>42</v>
      </c>
      <c r="B14" s="59">
        <v>224.0</v>
      </c>
      <c r="C14" s="59">
        <v>338.0</v>
      </c>
      <c r="D14" s="59">
        <v>1742675.0</v>
      </c>
      <c r="E14" s="60"/>
      <c r="F14" s="60">
        <v>828905.0</v>
      </c>
      <c r="G14" s="64">
        <f t="shared" si="5"/>
        <v>0.07881773399</v>
      </c>
      <c r="H14" s="62">
        <f t="shared" si="2"/>
        <v>7779.799107</v>
      </c>
      <c r="I14" s="46">
        <f t="shared" ref="I14:J14" si="34">C14/B14</f>
        <v>1.508928571</v>
      </c>
      <c r="J14" s="62">
        <f t="shared" si="34"/>
        <v>5155.843195</v>
      </c>
      <c r="K14" s="46"/>
      <c r="L14" s="47"/>
      <c r="M14" s="58" t="s">
        <v>42</v>
      </c>
      <c r="N14" s="59">
        <v>384.0</v>
      </c>
      <c r="O14" s="59">
        <v>654.0</v>
      </c>
      <c r="P14" s="59">
        <v>3467475.0</v>
      </c>
      <c r="Q14" s="59">
        <v>1650495.0</v>
      </c>
      <c r="R14" s="67">
        <f t="shared" si="10"/>
        <v>0.06232754423</v>
      </c>
      <c r="S14" s="59">
        <f t="shared" si="7"/>
        <v>9029.882813</v>
      </c>
      <c r="T14" s="66">
        <f t="shared" ref="T14:U14" si="35">O14/N14</f>
        <v>1.703125</v>
      </c>
      <c r="U14" s="59">
        <f t="shared" si="35"/>
        <v>5301.949541</v>
      </c>
      <c r="V14" s="47"/>
      <c r="W14" s="58" t="s">
        <v>42</v>
      </c>
      <c r="X14" s="59">
        <v>343.0</v>
      </c>
      <c r="Y14" s="59">
        <v>522.0</v>
      </c>
      <c r="Z14" s="59">
        <v>2546775.0</v>
      </c>
      <c r="AA14" s="59">
        <v>1241075.0</v>
      </c>
      <c r="AB14" s="35">
        <f t="shared" si="23"/>
        <v>0.05832341439</v>
      </c>
      <c r="AC14" s="38">
        <f t="shared" si="19"/>
        <v>7425</v>
      </c>
      <c r="AD14" s="36">
        <f t="shared" ref="AD14:AE14" si="36">Y14/X14</f>
        <v>1.521865889</v>
      </c>
      <c r="AE14" s="38">
        <f t="shared" si="36"/>
        <v>4878.87931</v>
      </c>
    </row>
    <row r="15">
      <c r="A15" s="58" t="s">
        <v>43</v>
      </c>
      <c r="B15" s="59">
        <v>230.0</v>
      </c>
      <c r="C15" s="59">
        <v>349.0</v>
      </c>
      <c r="D15" s="59">
        <v>1446720.0</v>
      </c>
      <c r="E15" s="60"/>
      <c r="F15" s="60">
        <v>692780.0</v>
      </c>
      <c r="G15" s="64">
        <f t="shared" si="5"/>
        <v>0.08092892329</v>
      </c>
      <c r="H15" s="62">
        <f t="shared" si="2"/>
        <v>6290.086957</v>
      </c>
      <c r="I15" s="46">
        <f t="shared" ref="I15:J15" si="37">C15/B15</f>
        <v>1.517391304</v>
      </c>
      <c r="J15" s="62">
        <f t="shared" si="37"/>
        <v>4145.329513</v>
      </c>
      <c r="K15" s="46"/>
      <c r="L15" s="47"/>
      <c r="M15" s="58" t="s">
        <v>43</v>
      </c>
      <c r="N15" s="59">
        <v>351.0</v>
      </c>
      <c r="O15" s="59">
        <v>561.0</v>
      </c>
      <c r="P15" s="59">
        <v>2413840.0</v>
      </c>
      <c r="Q15" s="59">
        <v>1158025.0</v>
      </c>
      <c r="R15" s="67">
        <f t="shared" si="10"/>
        <v>0.0569712709</v>
      </c>
      <c r="S15" s="59">
        <f t="shared" si="7"/>
        <v>6877.037037</v>
      </c>
      <c r="T15" s="66">
        <f t="shared" ref="T15:U15" si="38">O15/N15</f>
        <v>1.598290598</v>
      </c>
      <c r="U15" s="59">
        <f t="shared" si="38"/>
        <v>4302.745098</v>
      </c>
      <c r="V15" s="47"/>
      <c r="W15" s="58" t="s">
        <v>43</v>
      </c>
      <c r="X15" s="59">
        <v>356.0</v>
      </c>
      <c r="Y15" s="59">
        <v>518.0</v>
      </c>
      <c r="Z15" s="59">
        <v>2251975.0</v>
      </c>
      <c r="AA15" s="59">
        <v>1074480.0</v>
      </c>
      <c r="AB15" s="35">
        <f t="shared" si="23"/>
        <v>0.0605339228</v>
      </c>
      <c r="AC15" s="38">
        <f t="shared" si="19"/>
        <v>6325.772472</v>
      </c>
      <c r="AD15" s="36">
        <f t="shared" ref="AD15:AE15" si="39">Y15/X15</f>
        <v>1.45505618</v>
      </c>
      <c r="AE15" s="38">
        <f t="shared" si="39"/>
        <v>4347.442085</v>
      </c>
    </row>
    <row r="16">
      <c r="A16" s="58" t="s">
        <v>44</v>
      </c>
      <c r="B16" s="59">
        <v>311.0</v>
      </c>
      <c r="C16" s="59">
        <v>523.0</v>
      </c>
      <c r="D16" s="59">
        <v>2693735.0</v>
      </c>
      <c r="E16" s="60"/>
      <c r="F16" s="60">
        <v>1293325.0</v>
      </c>
      <c r="G16" s="64">
        <f t="shared" si="5"/>
        <v>0.1094299789</v>
      </c>
      <c r="H16" s="62">
        <f t="shared" si="2"/>
        <v>8661.527331</v>
      </c>
      <c r="I16" s="46">
        <f t="shared" ref="I16:J16" si="40">C16/B16</f>
        <v>1.681672026</v>
      </c>
      <c r="J16" s="62">
        <f t="shared" si="40"/>
        <v>5150.544933</v>
      </c>
      <c r="K16" s="46"/>
      <c r="L16" s="47"/>
      <c r="M16" s="58" t="s">
        <v>44</v>
      </c>
      <c r="N16" s="59">
        <v>743.0</v>
      </c>
      <c r="O16" s="59">
        <v>1364.0</v>
      </c>
      <c r="P16" s="59">
        <v>7542645.0</v>
      </c>
      <c r="Q16" s="59">
        <v>3669875.0</v>
      </c>
      <c r="R16" s="67">
        <f t="shared" si="10"/>
        <v>0.1205973056</v>
      </c>
      <c r="S16" s="59">
        <f t="shared" si="7"/>
        <v>10151.60834</v>
      </c>
      <c r="T16" s="66">
        <f t="shared" ref="T16:U16" si="41">O16/N16</f>
        <v>1.835800808</v>
      </c>
      <c r="U16" s="59">
        <f t="shared" si="41"/>
        <v>5529.798387</v>
      </c>
      <c r="V16" s="47"/>
      <c r="W16" s="58" t="s">
        <v>44</v>
      </c>
      <c r="X16" s="59">
        <v>778.0</v>
      </c>
      <c r="Y16" s="59">
        <v>1300.0</v>
      </c>
      <c r="Z16" s="59">
        <v>7285410.0</v>
      </c>
      <c r="AA16" s="59">
        <v>3469510.0</v>
      </c>
      <c r="AB16" s="35">
        <f t="shared" si="23"/>
        <v>0.1322904268</v>
      </c>
      <c r="AC16" s="38">
        <f t="shared" si="19"/>
        <v>9364.280206</v>
      </c>
      <c r="AD16" s="36">
        <f t="shared" ref="AD16:AE16" si="42">Y16/X16</f>
        <v>1.670951157</v>
      </c>
      <c r="AE16" s="38">
        <f t="shared" si="42"/>
        <v>5604.161538</v>
      </c>
    </row>
    <row r="17">
      <c r="A17" s="47"/>
      <c r="B17" s="47"/>
      <c r="C17" s="68">
        <f t="shared" ref="C17:D17" si="43">STDEV(C2:C16)/AVERAGE(C2:C16)</f>
        <v>1.242120348</v>
      </c>
      <c r="D17" s="68">
        <f t="shared" si="43"/>
        <v>1.303056809</v>
      </c>
      <c r="E17" s="68"/>
      <c r="F17" s="68">
        <f>STDEV(F2:F16)/AVERAGE(F2:F16)</f>
        <v>1.336591609</v>
      </c>
      <c r="G17" s="46"/>
      <c r="H17" s="46"/>
      <c r="I17" s="46"/>
      <c r="J17" s="46"/>
      <c r="K17" s="46"/>
      <c r="L17" s="47"/>
      <c r="M17" s="47"/>
      <c r="N17" s="47"/>
      <c r="O17" s="68">
        <f t="shared" ref="O17:Q17" si="44">STDEV(O4:O12)/AVERAGE(O4:O12)</f>
        <v>1.350201095</v>
      </c>
      <c r="P17" s="68">
        <f t="shared" si="44"/>
        <v>1.518614684</v>
      </c>
      <c r="Q17" s="68">
        <f t="shared" si="44"/>
        <v>1.570744487</v>
      </c>
      <c r="R17" s="68"/>
      <c r="S17" s="59"/>
      <c r="T17" s="59"/>
      <c r="U17" s="59"/>
      <c r="V17" s="47"/>
      <c r="W17" s="47"/>
      <c r="X17" s="47"/>
      <c r="Y17" s="68">
        <f t="shared" ref="Y17:AA17" si="45">STDEV(Y2:Y16)/AVERAGE(Y2:Y16)</f>
        <v>1.427550599</v>
      </c>
      <c r="Z17" s="68">
        <f t="shared" si="45"/>
        <v>2.030915916</v>
      </c>
      <c r="AA17" s="68">
        <f t="shared" si="45"/>
        <v>2.056224047</v>
      </c>
      <c r="AB17" s="35"/>
      <c r="AC17" s="38"/>
      <c r="AD17" s="36"/>
      <c r="AE17" s="63"/>
    </row>
    <row r="20">
      <c r="A20" s="69" t="s">
        <v>24</v>
      </c>
      <c r="B20" s="70" t="s">
        <v>45</v>
      </c>
      <c r="C20" s="58" t="s">
        <v>46</v>
      </c>
      <c r="D20" s="66" t="s">
        <v>47</v>
      </c>
      <c r="E20" s="69" t="s">
        <v>24</v>
      </c>
      <c r="F20" s="58" t="s">
        <v>45</v>
      </c>
      <c r="G20" s="59" t="s">
        <v>46</v>
      </c>
      <c r="H20" s="58" t="s">
        <v>47</v>
      </c>
      <c r="I20" s="58" t="s">
        <v>45</v>
      </c>
      <c r="J20" s="58" t="s">
        <v>46</v>
      </c>
      <c r="K20" s="58" t="s">
        <v>47</v>
      </c>
      <c r="L20" s="69" t="s">
        <v>24</v>
      </c>
    </row>
    <row r="21">
      <c r="A21" s="71" t="s">
        <v>31</v>
      </c>
      <c r="B21" s="72">
        <v>1.0</v>
      </c>
      <c r="C21" s="73"/>
      <c r="D21" s="73"/>
      <c r="E21" s="71" t="s">
        <v>31</v>
      </c>
      <c r="F21" s="74">
        <f t="shared" ref="F21:F34" si="46">H3</f>
        <v>6638.298733</v>
      </c>
      <c r="G21" s="75"/>
      <c r="H21" s="75"/>
      <c r="I21" s="76">
        <f t="shared" ref="I21:I34" si="47">J3</f>
        <v>5250.777901</v>
      </c>
      <c r="J21" s="77"/>
      <c r="K21" s="77"/>
      <c r="L21" s="71" t="s">
        <v>31</v>
      </c>
    </row>
    <row r="22">
      <c r="A22" s="71" t="s">
        <v>32</v>
      </c>
      <c r="B22" s="78">
        <f t="shared" ref="B22:B34" si="48">G4</f>
        <v>0.1861365236</v>
      </c>
      <c r="C22" s="79">
        <v>1.0</v>
      </c>
      <c r="D22" s="73"/>
      <c r="E22" s="71" t="s">
        <v>32</v>
      </c>
      <c r="F22" s="74">
        <f t="shared" si="46"/>
        <v>8274.120983</v>
      </c>
      <c r="G22" s="74">
        <f t="shared" ref="G22:G34" si="49">S4</f>
        <v>8248.009252</v>
      </c>
      <c r="H22" s="75"/>
      <c r="I22" s="76">
        <f t="shared" si="47"/>
        <v>5350.867971</v>
      </c>
      <c r="J22" s="76">
        <f t="shared" ref="J22:J34" si="50">U4</f>
        <v>6367.91792</v>
      </c>
      <c r="K22" s="77"/>
      <c r="L22" s="71" t="s">
        <v>32</v>
      </c>
    </row>
    <row r="23">
      <c r="A23" s="71" t="s">
        <v>33</v>
      </c>
      <c r="B23" s="78">
        <f t="shared" si="48"/>
        <v>0.08339197748</v>
      </c>
      <c r="C23" s="78">
        <f t="shared" ref="C23:C34" si="51">R5</f>
        <v>0.1004707028</v>
      </c>
      <c r="D23" s="73"/>
      <c r="E23" s="71" t="s">
        <v>33</v>
      </c>
      <c r="F23" s="74">
        <f t="shared" si="46"/>
        <v>8054.599156</v>
      </c>
      <c r="G23" s="74">
        <f t="shared" si="49"/>
        <v>8717.988691</v>
      </c>
      <c r="H23" s="75"/>
      <c r="I23" s="76">
        <f t="shared" si="47"/>
        <v>5873.661538</v>
      </c>
      <c r="J23" s="76">
        <f t="shared" si="50"/>
        <v>5747.00213</v>
      </c>
      <c r="K23" s="77"/>
      <c r="L23" s="71" t="s">
        <v>33</v>
      </c>
    </row>
    <row r="24">
      <c r="A24" s="71" t="s">
        <v>34</v>
      </c>
      <c r="B24" s="78">
        <f t="shared" si="48"/>
        <v>0.1118930331</v>
      </c>
      <c r="C24" s="78">
        <f t="shared" si="51"/>
        <v>0.08862197695</v>
      </c>
      <c r="D24" s="73"/>
      <c r="E24" s="71" t="s">
        <v>34</v>
      </c>
      <c r="F24" s="74">
        <f t="shared" si="46"/>
        <v>7412.893082</v>
      </c>
      <c r="G24" s="74">
        <f t="shared" si="49"/>
        <v>7352.57326</v>
      </c>
      <c r="H24" s="75"/>
      <c r="I24" s="76">
        <f t="shared" si="47"/>
        <v>5047.751606</v>
      </c>
      <c r="J24" s="76">
        <f t="shared" si="50"/>
        <v>4695.327485</v>
      </c>
      <c r="K24" s="77"/>
      <c r="L24" s="71" t="s">
        <v>34</v>
      </c>
    </row>
    <row r="25">
      <c r="A25" s="71" t="s">
        <v>35</v>
      </c>
      <c r="B25" s="78">
        <f t="shared" si="48"/>
        <v>0.1115411682</v>
      </c>
      <c r="C25" s="78">
        <f t="shared" si="51"/>
        <v>0.07320240221</v>
      </c>
      <c r="D25" s="73"/>
      <c r="E25" s="71" t="s">
        <v>35</v>
      </c>
      <c r="F25" s="74">
        <f t="shared" si="46"/>
        <v>6982.744479</v>
      </c>
      <c r="G25" s="74">
        <f t="shared" si="49"/>
        <v>7795.853659</v>
      </c>
      <c r="H25" s="75"/>
      <c r="I25" s="76">
        <f t="shared" si="47"/>
        <v>4729.764957</v>
      </c>
      <c r="J25" s="76">
        <f t="shared" si="50"/>
        <v>5051.623563</v>
      </c>
      <c r="K25" s="77"/>
      <c r="L25" s="71" t="s">
        <v>35</v>
      </c>
    </row>
    <row r="26">
      <c r="A26" s="71" t="s">
        <v>36</v>
      </c>
      <c r="B26" s="78">
        <f t="shared" si="48"/>
        <v>0.1287825475</v>
      </c>
      <c r="C26" s="78">
        <f t="shared" si="51"/>
        <v>0.152410323</v>
      </c>
      <c r="D26" s="79">
        <v>1.0</v>
      </c>
      <c r="E26" s="71" t="s">
        <v>36</v>
      </c>
      <c r="F26" s="74">
        <f t="shared" si="46"/>
        <v>8245.040984</v>
      </c>
      <c r="G26" s="74">
        <f t="shared" si="49"/>
        <v>9322.880724</v>
      </c>
      <c r="H26" s="74">
        <f t="shared" ref="H26:H34" si="52">AC8</f>
        <v>7837.083829</v>
      </c>
      <c r="I26" s="76">
        <f t="shared" si="47"/>
        <v>4906.804878</v>
      </c>
      <c r="J26" s="76">
        <f t="shared" si="50"/>
        <v>5544.132362</v>
      </c>
      <c r="K26" s="76">
        <f t="shared" ref="K26:K34" si="53">AE8</f>
        <v>6024.034767</v>
      </c>
      <c r="L26" s="71" t="s">
        <v>36</v>
      </c>
    </row>
    <row r="27">
      <c r="A27" s="71" t="s">
        <v>37</v>
      </c>
      <c r="B27" s="78">
        <f t="shared" si="48"/>
        <v>0.08233638283</v>
      </c>
      <c r="C27" s="78">
        <f t="shared" si="51"/>
        <v>0.06784612888</v>
      </c>
      <c r="D27" s="78">
        <f t="shared" ref="D27:D34" si="54">AB9</f>
        <v>0.1173269852</v>
      </c>
      <c r="E27" s="71" t="s">
        <v>37</v>
      </c>
      <c r="F27" s="74">
        <f t="shared" si="46"/>
        <v>6732.32906</v>
      </c>
      <c r="G27" s="74">
        <f t="shared" si="49"/>
        <v>8205.789474</v>
      </c>
      <c r="H27" s="74">
        <f t="shared" si="52"/>
        <v>8017.166667</v>
      </c>
      <c r="I27" s="76">
        <f t="shared" si="47"/>
        <v>4647.094395</v>
      </c>
      <c r="J27" s="76">
        <f t="shared" si="50"/>
        <v>4992.751092</v>
      </c>
      <c r="K27" s="76">
        <f t="shared" si="53"/>
        <v>5471.656775</v>
      </c>
      <c r="L27" s="71" t="s">
        <v>37</v>
      </c>
    </row>
    <row r="28">
      <c r="A28" s="71" t="s">
        <v>38</v>
      </c>
      <c r="B28" s="78">
        <f t="shared" si="48"/>
        <v>0.08937368051</v>
      </c>
      <c r="C28" s="78">
        <f t="shared" si="51"/>
        <v>0.07174160039</v>
      </c>
      <c r="D28" s="78">
        <f t="shared" si="54"/>
        <v>0.08042849855</v>
      </c>
      <c r="E28" s="71" t="s">
        <v>38</v>
      </c>
      <c r="F28" s="74">
        <f t="shared" si="46"/>
        <v>7105.393701</v>
      </c>
      <c r="G28" s="74">
        <f t="shared" si="49"/>
        <v>7636.78733</v>
      </c>
      <c r="H28" s="74">
        <f t="shared" si="52"/>
        <v>7550.465116</v>
      </c>
      <c r="I28" s="76">
        <f t="shared" si="47"/>
        <v>4423.455882</v>
      </c>
      <c r="J28" s="76">
        <f t="shared" si="50"/>
        <v>4573.794038</v>
      </c>
      <c r="K28" s="76">
        <f t="shared" si="53"/>
        <v>5290.918519</v>
      </c>
      <c r="L28" s="71" t="s">
        <v>38</v>
      </c>
    </row>
    <row r="29">
      <c r="A29" s="71" t="s">
        <v>39</v>
      </c>
      <c r="B29" s="78">
        <f t="shared" si="48"/>
        <v>0.09465165376</v>
      </c>
      <c r="C29" s="78">
        <f t="shared" si="51"/>
        <v>0.06979386463</v>
      </c>
      <c r="D29" s="78">
        <f t="shared" si="54"/>
        <v>0.07141642578</v>
      </c>
      <c r="E29" s="71" t="s">
        <v>39</v>
      </c>
      <c r="F29" s="74">
        <f t="shared" si="46"/>
        <v>5883.773234</v>
      </c>
      <c r="G29" s="74">
        <f t="shared" si="49"/>
        <v>8084.616279</v>
      </c>
      <c r="H29" s="74">
        <f t="shared" si="52"/>
        <v>6757.142857</v>
      </c>
      <c r="I29" s="76">
        <f t="shared" si="47"/>
        <v>4111</v>
      </c>
      <c r="J29" s="76">
        <f t="shared" si="50"/>
        <v>4755.656635</v>
      </c>
      <c r="K29" s="76">
        <f t="shared" si="53"/>
        <v>4722.129784</v>
      </c>
      <c r="L29" s="71" t="s">
        <v>39</v>
      </c>
    </row>
    <row r="30">
      <c r="A30" s="71" t="s">
        <v>40</v>
      </c>
      <c r="B30" s="78">
        <f t="shared" si="48"/>
        <v>0.1259676284</v>
      </c>
      <c r="C30" s="78">
        <f t="shared" si="51"/>
        <v>0.1436455121</v>
      </c>
      <c r="D30" s="78">
        <f t="shared" si="54"/>
        <v>0.1698690699</v>
      </c>
      <c r="E30" s="71" t="s">
        <v>40</v>
      </c>
      <c r="F30" s="74">
        <f t="shared" si="46"/>
        <v>9000.181564</v>
      </c>
      <c r="G30" s="74">
        <f t="shared" si="49"/>
        <v>9616.485876</v>
      </c>
      <c r="H30" s="74">
        <f t="shared" si="52"/>
        <v>8936.096096</v>
      </c>
      <c r="I30" s="76">
        <f t="shared" si="47"/>
        <v>5155.304</v>
      </c>
      <c r="J30" s="76">
        <f t="shared" si="50"/>
        <v>5519.189364</v>
      </c>
      <c r="K30" s="76">
        <f t="shared" si="53"/>
        <v>5377.807229</v>
      </c>
      <c r="L30" s="71" t="s">
        <v>40</v>
      </c>
    </row>
    <row r="31">
      <c r="A31" s="71" t="s">
        <v>41</v>
      </c>
      <c r="B31" s="78">
        <f t="shared" si="48"/>
        <v>0.07741027445</v>
      </c>
      <c r="C31" s="78">
        <f t="shared" si="51"/>
        <v>0.06184061029</v>
      </c>
      <c r="D31" s="78">
        <f t="shared" si="54"/>
        <v>0.06580513518</v>
      </c>
      <c r="E31" s="71" t="s">
        <v>41</v>
      </c>
      <c r="F31" s="74">
        <f t="shared" si="46"/>
        <v>7449.75</v>
      </c>
      <c r="G31" s="74">
        <f t="shared" si="49"/>
        <v>9027.650919</v>
      </c>
      <c r="H31" s="74">
        <f t="shared" si="52"/>
        <v>8101.485788</v>
      </c>
      <c r="I31" s="76">
        <f t="shared" si="47"/>
        <v>5074.133127</v>
      </c>
      <c r="J31" s="76">
        <f t="shared" si="50"/>
        <v>5503.256</v>
      </c>
      <c r="K31" s="76">
        <f t="shared" si="53"/>
        <v>5578.781139</v>
      </c>
      <c r="L31" s="71" t="s">
        <v>41</v>
      </c>
    </row>
    <row r="32">
      <c r="A32" s="71" t="s">
        <v>42</v>
      </c>
      <c r="B32" s="78">
        <f t="shared" si="48"/>
        <v>0.07881773399</v>
      </c>
      <c r="C32" s="78">
        <f t="shared" si="51"/>
        <v>0.06232754423</v>
      </c>
      <c r="D32" s="78">
        <f t="shared" si="54"/>
        <v>0.05832341439</v>
      </c>
      <c r="E32" s="71" t="s">
        <v>42</v>
      </c>
      <c r="F32" s="74">
        <f t="shared" si="46"/>
        <v>7779.799107</v>
      </c>
      <c r="G32" s="74">
        <f t="shared" si="49"/>
        <v>9029.882813</v>
      </c>
      <c r="H32" s="74">
        <f t="shared" si="52"/>
        <v>7425</v>
      </c>
      <c r="I32" s="76">
        <f t="shared" si="47"/>
        <v>5155.843195</v>
      </c>
      <c r="J32" s="76">
        <f t="shared" si="50"/>
        <v>5301.949541</v>
      </c>
      <c r="K32" s="76">
        <f t="shared" si="53"/>
        <v>4878.87931</v>
      </c>
      <c r="L32" s="71" t="s">
        <v>42</v>
      </c>
    </row>
    <row r="33">
      <c r="A33" s="71" t="s">
        <v>43</v>
      </c>
      <c r="B33" s="78">
        <f t="shared" si="48"/>
        <v>0.08092892329</v>
      </c>
      <c r="C33" s="78">
        <f t="shared" si="51"/>
        <v>0.0569712709</v>
      </c>
      <c r="D33" s="78">
        <f t="shared" si="54"/>
        <v>0.0605339228</v>
      </c>
      <c r="E33" s="71" t="s">
        <v>43</v>
      </c>
      <c r="F33" s="74">
        <f t="shared" si="46"/>
        <v>6290.086957</v>
      </c>
      <c r="G33" s="74">
        <f t="shared" si="49"/>
        <v>6877.037037</v>
      </c>
      <c r="H33" s="74">
        <f t="shared" si="52"/>
        <v>6325.772472</v>
      </c>
      <c r="I33" s="76">
        <f t="shared" si="47"/>
        <v>4145.329513</v>
      </c>
      <c r="J33" s="76">
        <f t="shared" si="50"/>
        <v>4302.745098</v>
      </c>
      <c r="K33" s="76">
        <f t="shared" si="53"/>
        <v>4347.442085</v>
      </c>
      <c r="L33" s="71" t="s">
        <v>43</v>
      </c>
    </row>
    <row r="34">
      <c r="A34" s="71" t="s">
        <v>44</v>
      </c>
      <c r="B34" s="78">
        <f t="shared" si="48"/>
        <v>0.1094299789</v>
      </c>
      <c r="C34" s="78">
        <f t="shared" si="51"/>
        <v>0.1205973056</v>
      </c>
      <c r="D34" s="78">
        <f t="shared" si="54"/>
        <v>0.1322904268</v>
      </c>
      <c r="E34" s="71" t="s">
        <v>44</v>
      </c>
      <c r="F34" s="74">
        <f t="shared" si="46"/>
        <v>8661.527331</v>
      </c>
      <c r="G34" s="74">
        <f t="shared" si="49"/>
        <v>10151.60834</v>
      </c>
      <c r="H34" s="74">
        <f t="shared" si="52"/>
        <v>9364.280206</v>
      </c>
      <c r="I34" s="76">
        <f t="shared" si="47"/>
        <v>5150.544933</v>
      </c>
      <c r="J34" s="76">
        <f t="shared" si="50"/>
        <v>5529.798387</v>
      </c>
      <c r="K34" s="76">
        <f t="shared" si="53"/>
        <v>5604.161538</v>
      </c>
      <c r="L34" s="71" t="s">
        <v>44</v>
      </c>
    </row>
  </sheetData>
  <mergeCells count="3">
    <mergeCell ref="A1:J1"/>
    <mergeCell ref="M1:U1"/>
    <mergeCell ref="W1:A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8.0"/>
    <col customWidth="1" min="8" max="8" width="17.5"/>
  </cols>
  <sheetData>
    <row r="1">
      <c r="A1" s="80" t="s">
        <v>4</v>
      </c>
      <c r="B1" s="81"/>
      <c r="C1" s="81"/>
      <c r="D1" s="81"/>
      <c r="E1" s="82"/>
      <c r="F1" s="83"/>
      <c r="G1" s="84"/>
      <c r="K1" s="85"/>
      <c r="L1" s="85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>
      <c r="A2" s="86"/>
      <c r="B2" s="87">
        <v>2021.0</v>
      </c>
      <c r="C2" s="87">
        <v>2022.0</v>
      </c>
      <c r="D2" s="87">
        <v>2023.0</v>
      </c>
      <c r="E2" s="87">
        <v>2024.0</v>
      </c>
      <c r="F2" s="83"/>
      <c r="G2" s="88"/>
      <c r="H2" s="88"/>
      <c r="I2" s="89"/>
      <c r="J2" s="89"/>
      <c r="K2" s="85"/>
      <c r="L2" s="85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>
      <c r="A3" s="87" t="s">
        <v>53</v>
      </c>
      <c r="B3" s="71">
        <v>7.5539904E7</v>
      </c>
      <c r="C3" s="71">
        <v>6.171330550000001E7</v>
      </c>
      <c r="D3" s="71">
        <v>5.75353625E7</v>
      </c>
      <c r="E3" s="71">
        <v>5.54779225E7</v>
      </c>
      <c r="F3" s="83"/>
      <c r="G3" s="90"/>
      <c r="H3" s="91"/>
      <c r="I3" s="92" t="s">
        <v>54</v>
      </c>
      <c r="J3" s="92" t="s">
        <v>55</v>
      </c>
      <c r="K3" s="92">
        <v>2023.0</v>
      </c>
      <c r="L3" s="92">
        <v>2024.0</v>
      </c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>
      <c r="A4" s="87">
        <v>2021.0</v>
      </c>
      <c r="B4" s="71">
        <v>1.3186955649999999E8</v>
      </c>
      <c r="C4" s="71">
        <v>5.2597105E7</v>
      </c>
      <c r="D4" s="71">
        <v>4.5025838E7</v>
      </c>
      <c r="E4" s="71">
        <v>4.1006845E7</v>
      </c>
      <c r="F4" s="83"/>
      <c r="G4" s="83"/>
      <c r="H4" s="93" t="s">
        <v>56</v>
      </c>
      <c r="I4" s="94">
        <f t="shared" ref="I4:L4" si="1">B8/B24</f>
        <v>10036.26539</v>
      </c>
      <c r="J4" s="94">
        <f t="shared" si="1"/>
        <v>10271.74034</v>
      </c>
      <c r="K4" s="94">
        <f t="shared" si="1"/>
        <v>10127.8558</v>
      </c>
      <c r="L4" s="94">
        <f t="shared" si="1"/>
        <v>10239.98189</v>
      </c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>
      <c r="A5" s="87">
        <v>2022.0</v>
      </c>
      <c r="B5" s="71">
        <v>0.0</v>
      </c>
      <c r="C5" s="71">
        <v>1.061519525E8</v>
      </c>
      <c r="D5" s="71">
        <v>4.0414088E7</v>
      </c>
      <c r="E5" s="71">
        <v>3.1974173E7</v>
      </c>
      <c r="F5" s="83"/>
      <c r="G5" s="83"/>
      <c r="H5" s="93" t="s">
        <v>57</v>
      </c>
      <c r="I5" s="95">
        <f t="shared" ref="I5:L5" si="2">B15/B24</f>
        <v>5010.610447</v>
      </c>
      <c r="J5" s="95">
        <f t="shared" si="2"/>
        <v>3614.172413</v>
      </c>
      <c r="K5" s="94">
        <f t="shared" si="2"/>
        <v>3780.724362</v>
      </c>
      <c r="L5" s="94">
        <f t="shared" si="2"/>
        <v>4062.79432</v>
      </c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>
      <c r="A6" s="87">
        <v>2023.0</v>
      </c>
      <c r="B6" s="71">
        <v>0.0</v>
      </c>
      <c r="C6" s="71">
        <v>0.0</v>
      </c>
      <c r="D6" s="71">
        <v>1.2317463399999999E8</v>
      </c>
      <c r="E6" s="71">
        <v>4.4414436E7</v>
      </c>
      <c r="F6" s="83"/>
      <c r="G6" s="83"/>
      <c r="H6" s="96" t="s">
        <v>58</v>
      </c>
      <c r="I6" s="97">
        <f t="shared" ref="I6:L6" si="3">B15/B8</f>
        <v>0.4992504934</v>
      </c>
      <c r="J6" s="97">
        <f t="shared" si="3"/>
        <v>0.3518558971</v>
      </c>
      <c r="K6" s="98">
        <f t="shared" si="3"/>
        <v>0.3732995846</v>
      </c>
      <c r="L6" s="98">
        <f t="shared" si="3"/>
        <v>0.3967579597</v>
      </c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>
      <c r="A7" s="87">
        <v>2024.0</v>
      </c>
      <c r="B7" s="71">
        <v>0.0</v>
      </c>
      <c r="C7" s="71">
        <v>0.0</v>
      </c>
      <c r="D7" s="71">
        <v>0.0</v>
      </c>
      <c r="E7" s="71">
        <v>1.527273275E8</v>
      </c>
      <c r="F7" s="83"/>
      <c r="G7" s="83"/>
      <c r="H7" s="99"/>
      <c r="I7" s="100"/>
      <c r="J7" s="101"/>
      <c r="K7" s="101"/>
      <c r="L7" s="102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>
      <c r="A8" s="103" t="s">
        <v>59</v>
      </c>
      <c r="B8" s="104">
        <f t="shared" ref="B8:E8" si="4">SUM(B3:B7)</f>
        <v>207409460.5</v>
      </c>
      <c r="C8" s="104">
        <f t="shared" si="4"/>
        <v>220462363</v>
      </c>
      <c r="D8" s="104">
        <f t="shared" si="4"/>
        <v>266149922.5</v>
      </c>
      <c r="E8" s="104">
        <f t="shared" si="4"/>
        <v>325600704</v>
      </c>
      <c r="F8" s="83"/>
      <c r="G8" s="83"/>
      <c r="H8" s="83"/>
      <c r="I8" s="85"/>
      <c r="J8" s="85"/>
      <c r="K8" s="85"/>
      <c r="L8" s="85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>
      <c r="A9" s="105" t="s">
        <v>5</v>
      </c>
      <c r="B9" s="44"/>
      <c r="C9" s="44"/>
      <c r="D9" s="44"/>
      <c r="E9" s="45"/>
      <c r="F9" s="83"/>
      <c r="G9" s="106"/>
      <c r="J9" s="107"/>
      <c r="K9" s="85"/>
      <c r="L9" s="85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>
      <c r="A10" s="58" t="s">
        <v>53</v>
      </c>
      <c r="B10" s="59">
        <v>3.74877415E7</v>
      </c>
      <c r="C10" s="59">
        <v>3.0335338E7</v>
      </c>
      <c r="D10" s="59">
        <v>2.74854745E7</v>
      </c>
      <c r="E10" s="59">
        <v>2.6831497E7</v>
      </c>
      <c r="F10" s="83"/>
      <c r="G10" s="108"/>
      <c r="H10" s="109" t="s">
        <v>60</v>
      </c>
      <c r="I10" s="92" t="s">
        <v>61</v>
      </c>
      <c r="J10" s="92" t="s">
        <v>62</v>
      </c>
      <c r="K10" s="92" t="s">
        <v>63</v>
      </c>
      <c r="L10" s="92" t="s">
        <v>64</v>
      </c>
      <c r="M10" s="110" t="s">
        <v>65</v>
      </c>
      <c r="N10" s="110" t="s">
        <v>58</v>
      </c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>
      <c r="A11" s="87">
        <v>2021.0</v>
      </c>
      <c r="B11" s="71">
        <v>6.6061534E7</v>
      </c>
      <c r="C11" s="71">
        <v>2.5603149E7</v>
      </c>
      <c r="D11" s="71">
        <v>2.12661185E7</v>
      </c>
      <c r="E11" s="71">
        <v>1.9554051E7</v>
      </c>
      <c r="F11" s="83"/>
      <c r="G11" s="108"/>
      <c r="H11" s="93">
        <v>2021.0</v>
      </c>
      <c r="I11" s="95">
        <f>B8</f>
        <v>207409460.5</v>
      </c>
      <c r="J11" s="95">
        <f>B15</f>
        <v>103549275.5</v>
      </c>
      <c r="K11" s="111">
        <f>B24</f>
        <v>20666</v>
      </c>
      <c r="L11" s="111">
        <f>I4</f>
        <v>10036.26539</v>
      </c>
      <c r="M11" s="111">
        <f>I5</f>
        <v>5010.610447</v>
      </c>
      <c r="N11" s="112">
        <f>I6</f>
        <v>0.4992504934</v>
      </c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>
      <c r="A12" s="87">
        <v>2022.0</v>
      </c>
      <c r="B12" s="71">
        <v>0.0</v>
      </c>
      <c r="C12" s="71">
        <v>5.19678335E7</v>
      </c>
      <c r="D12" s="71">
        <v>1.9015788E7</v>
      </c>
      <c r="E12" s="71">
        <v>1.52587985E7</v>
      </c>
      <c r="F12" s="83"/>
      <c r="G12" s="113"/>
      <c r="H12" s="93">
        <v>2022.0</v>
      </c>
      <c r="I12" s="95">
        <f>C8</f>
        <v>220462363</v>
      </c>
      <c r="J12" s="95">
        <f>C15</f>
        <v>77570982.5</v>
      </c>
      <c r="K12" s="111">
        <f>C24</f>
        <v>21463</v>
      </c>
      <c r="L12" s="111">
        <f>J4</f>
        <v>10271.74034</v>
      </c>
      <c r="M12" s="111">
        <f>J5</f>
        <v>3614.172413</v>
      </c>
      <c r="N12" s="112">
        <f>J6</f>
        <v>0.3518558971</v>
      </c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>
      <c r="A13" s="87">
        <v>2023.0</v>
      </c>
      <c r="B13" s="71">
        <v>0.0</v>
      </c>
      <c r="C13" s="71">
        <v>0.0</v>
      </c>
      <c r="D13" s="71">
        <v>5.9071749E7</v>
      </c>
      <c r="E13" s="71">
        <v>2.09702955E7</v>
      </c>
      <c r="F13" s="83"/>
      <c r="G13" s="83"/>
      <c r="H13" s="93">
        <v>2023.0</v>
      </c>
      <c r="I13" s="95">
        <f>D8</f>
        <v>266149922.5</v>
      </c>
      <c r="J13" s="95">
        <f>D15</f>
        <v>99353655.5</v>
      </c>
      <c r="K13" s="111">
        <f>D24</f>
        <v>26279</v>
      </c>
      <c r="L13" s="111">
        <f>K4</f>
        <v>10127.8558</v>
      </c>
      <c r="M13" s="111">
        <f>K5</f>
        <v>3780.724362</v>
      </c>
      <c r="N13" s="112">
        <f>K6</f>
        <v>0.3732995846</v>
      </c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>
      <c r="A14" s="87">
        <v>2024.0</v>
      </c>
      <c r="B14" s="71">
        <v>0.0</v>
      </c>
      <c r="C14" s="71">
        <v>0.0</v>
      </c>
      <c r="D14" s="71">
        <v>0.0</v>
      </c>
      <c r="E14" s="71">
        <v>7.3401526E7</v>
      </c>
      <c r="F14" s="83"/>
      <c r="G14" s="83"/>
      <c r="H14" s="93">
        <v>2024.0</v>
      </c>
      <c r="I14" s="95">
        <f>E8</f>
        <v>325600704</v>
      </c>
      <c r="J14" s="95">
        <f>E15</f>
        <v>129184671</v>
      </c>
      <c r="K14" s="111">
        <f>E24</f>
        <v>31797</v>
      </c>
      <c r="L14" s="111">
        <f>L4</f>
        <v>10239.98189</v>
      </c>
      <c r="M14" s="111">
        <f>L5</f>
        <v>4062.79432</v>
      </c>
      <c r="N14" s="112">
        <f>L6</f>
        <v>0.3967579597</v>
      </c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>
      <c r="A15" s="114" t="s">
        <v>59</v>
      </c>
      <c r="B15" s="115">
        <f>sum(B10:B11)</f>
        <v>103549275.5</v>
      </c>
      <c r="C15" s="115">
        <f t="shared" ref="C15:E15" si="5">SUM(C11:C14)</f>
        <v>77570982.5</v>
      </c>
      <c r="D15" s="115">
        <f t="shared" si="5"/>
        <v>99353655.5</v>
      </c>
      <c r="E15" s="115">
        <f t="shared" si="5"/>
        <v>129184671</v>
      </c>
      <c r="F15" s="83"/>
      <c r="G15" s="83"/>
      <c r="H15" s="116"/>
      <c r="I15" s="85"/>
      <c r="J15" s="85"/>
      <c r="K15" s="85"/>
      <c r="L15" s="85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>
      <c r="A16" s="117"/>
      <c r="B16" s="86"/>
      <c r="C16" s="86"/>
      <c r="D16" s="86"/>
      <c r="E16" s="86"/>
      <c r="F16" s="83"/>
      <c r="G16" s="106"/>
      <c r="J16" s="85"/>
      <c r="K16" s="85"/>
      <c r="L16" s="85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>
      <c r="A17" s="105" t="s">
        <v>2</v>
      </c>
      <c r="B17" s="44"/>
      <c r="C17" s="44"/>
      <c r="D17" s="44"/>
      <c r="E17" s="45"/>
      <c r="F17" s="83"/>
      <c r="G17" s="83"/>
      <c r="H17" s="118"/>
      <c r="I17" s="119"/>
      <c r="J17" s="119"/>
      <c r="K17" s="119"/>
      <c r="L17" s="119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>
      <c r="A18" s="86"/>
      <c r="B18" s="87">
        <v>2021.0</v>
      </c>
      <c r="C18" s="87">
        <v>2022.0</v>
      </c>
      <c r="D18" s="87">
        <v>2023.0</v>
      </c>
      <c r="E18" s="87">
        <v>2024.0</v>
      </c>
      <c r="F18" s="83"/>
      <c r="G18" s="83"/>
      <c r="H18" s="96"/>
      <c r="I18" s="98"/>
      <c r="J18" s="98"/>
      <c r="K18" s="98"/>
      <c r="L18" s="98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>
      <c r="A19" s="87" t="s">
        <v>53</v>
      </c>
      <c r="B19" s="71">
        <v>5751.0</v>
      </c>
      <c r="C19" s="71">
        <v>4636.0</v>
      </c>
      <c r="D19" s="71">
        <v>4233.0</v>
      </c>
      <c r="E19" s="71">
        <v>3921.0</v>
      </c>
      <c r="F19" s="83"/>
      <c r="G19" s="83"/>
      <c r="H19" s="96"/>
      <c r="I19" s="97"/>
      <c r="J19" s="97"/>
      <c r="K19" s="98"/>
      <c r="L19" s="98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>
      <c r="A20" s="87">
        <v>2021.0</v>
      </c>
      <c r="B20" s="71">
        <v>14915.0</v>
      </c>
      <c r="C20" s="71">
        <v>4107.0</v>
      </c>
      <c r="D20" s="71">
        <v>3491.0</v>
      </c>
      <c r="E20" s="71">
        <v>3075.0</v>
      </c>
      <c r="F20" s="83"/>
      <c r="G20" s="83"/>
      <c r="H20" s="96"/>
      <c r="I20" s="97"/>
      <c r="J20" s="97"/>
      <c r="K20" s="98"/>
      <c r="L20" s="98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>
      <c r="A21" s="87">
        <v>2022.0</v>
      </c>
      <c r="B21" s="115"/>
      <c r="C21" s="71">
        <v>12720.0</v>
      </c>
      <c r="D21" s="71">
        <v>3389.0</v>
      </c>
      <c r="E21" s="71">
        <v>2686.0</v>
      </c>
      <c r="F21" s="83"/>
      <c r="G21" s="83"/>
      <c r="H21" s="96"/>
      <c r="I21" s="97"/>
      <c r="J21" s="97"/>
      <c r="K21" s="97"/>
      <c r="L21" s="98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>
      <c r="A22" s="87">
        <v>2023.0</v>
      </c>
      <c r="B22" s="115"/>
      <c r="C22" s="115"/>
      <c r="D22" s="71">
        <v>15166.0</v>
      </c>
      <c r="E22" s="71">
        <v>3799.0</v>
      </c>
      <c r="F22" s="83"/>
      <c r="G22" s="83"/>
      <c r="H22" s="83"/>
      <c r="I22" s="85"/>
      <c r="J22" s="85"/>
      <c r="K22" s="85"/>
      <c r="L22" s="85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>
      <c r="A23" s="87">
        <v>2024.0</v>
      </c>
      <c r="B23" s="115"/>
      <c r="C23" s="115"/>
      <c r="D23" s="115"/>
      <c r="E23" s="71">
        <v>18316.0</v>
      </c>
      <c r="F23" s="83"/>
      <c r="G23" s="83"/>
      <c r="H23" s="83"/>
      <c r="I23" s="119"/>
      <c r="J23" s="119"/>
      <c r="K23" s="119"/>
      <c r="L23" s="119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>
      <c r="A24" s="120" t="s">
        <v>66</v>
      </c>
      <c r="B24" s="115">
        <f t="shared" ref="B24:E24" si="6">SUM(B19:B23)</f>
        <v>20666</v>
      </c>
      <c r="C24" s="115">
        <f t="shared" si="6"/>
        <v>21463</v>
      </c>
      <c r="D24" s="115">
        <f t="shared" si="6"/>
        <v>26279</v>
      </c>
      <c r="E24" s="115">
        <f t="shared" si="6"/>
        <v>31797</v>
      </c>
      <c r="F24" s="83"/>
      <c r="G24" s="83"/>
      <c r="H24" s="96"/>
      <c r="I24" s="97"/>
      <c r="J24" s="97"/>
      <c r="K24" s="97"/>
      <c r="L24" s="121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>
      <c r="A25" s="105" t="s">
        <v>3</v>
      </c>
      <c r="B25" s="44"/>
      <c r="C25" s="44"/>
      <c r="D25" s="44"/>
      <c r="E25" s="45"/>
      <c r="F25" s="83"/>
      <c r="G25" s="83"/>
      <c r="H25" s="96"/>
      <c r="I25" s="97"/>
      <c r="J25" s="97"/>
      <c r="K25" s="121"/>
      <c r="L25" s="121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>
      <c r="A26" s="86"/>
      <c r="B26" s="87">
        <v>2021.0</v>
      </c>
      <c r="C26" s="87">
        <v>2022.0</v>
      </c>
      <c r="D26" s="87">
        <v>2023.0</v>
      </c>
      <c r="E26" s="87">
        <v>2024.0</v>
      </c>
      <c r="F26" s="83"/>
      <c r="G26" s="83"/>
      <c r="H26" s="96"/>
      <c r="I26" s="97"/>
      <c r="J26" s="121"/>
      <c r="K26" s="121"/>
      <c r="L26" s="121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>
      <c r="A27" s="87" t="s">
        <v>53</v>
      </c>
      <c r="B27" s="71">
        <v>13739.0</v>
      </c>
      <c r="C27" s="71">
        <v>11475.0</v>
      </c>
      <c r="D27" s="71">
        <v>11331.0</v>
      </c>
      <c r="E27" s="71">
        <v>10581.0</v>
      </c>
      <c r="F27" s="83"/>
      <c r="G27" s="83"/>
      <c r="H27" s="96"/>
      <c r="I27" s="122"/>
      <c r="J27" s="121"/>
      <c r="K27" s="121"/>
      <c r="L27" s="121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>
      <c r="A28" s="87">
        <v>2021.0</v>
      </c>
      <c r="B28" s="71">
        <v>22911.0</v>
      </c>
      <c r="C28" s="71">
        <v>10035.0</v>
      </c>
      <c r="D28" s="71">
        <v>9346.0</v>
      </c>
      <c r="E28" s="71">
        <v>8197.0</v>
      </c>
      <c r="F28" s="83"/>
      <c r="G28" s="83"/>
      <c r="H28" s="96"/>
      <c r="I28" s="97"/>
      <c r="J28" s="97"/>
      <c r="K28" s="97"/>
      <c r="L28" s="97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>
      <c r="A29" s="87">
        <v>2022.0</v>
      </c>
      <c r="B29" s="115"/>
      <c r="C29" s="71">
        <v>18640.0</v>
      </c>
      <c r="D29" s="71">
        <v>7992.0</v>
      </c>
      <c r="E29" s="71">
        <v>6336.0</v>
      </c>
      <c r="F29" s="83"/>
      <c r="G29" s="83"/>
      <c r="H29" s="83"/>
      <c r="I29" s="85"/>
      <c r="J29" s="85"/>
      <c r="K29" s="85"/>
      <c r="L29" s="85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>
      <c r="A30" s="87">
        <v>2023.0</v>
      </c>
      <c r="B30" s="115"/>
      <c r="C30" s="115"/>
      <c r="D30" s="71">
        <v>22735.0</v>
      </c>
      <c r="E30" s="71">
        <v>9002.0</v>
      </c>
      <c r="F30" s="83"/>
      <c r="G30" s="83"/>
      <c r="H30" s="83"/>
      <c r="I30" s="85"/>
      <c r="J30" s="85"/>
      <c r="K30" s="85"/>
      <c r="L30" s="85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>
      <c r="A31" s="87">
        <v>2024.0</v>
      </c>
      <c r="B31" s="115"/>
      <c r="C31" s="115"/>
      <c r="D31" s="115"/>
      <c r="E31" s="71">
        <v>27144.0</v>
      </c>
      <c r="F31" s="83"/>
      <c r="G31" s="83"/>
      <c r="H31" s="83"/>
      <c r="I31" s="85"/>
      <c r="J31" s="85"/>
      <c r="K31" s="85"/>
      <c r="L31" s="85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>
      <c r="A32" s="123" t="s">
        <v>59</v>
      </c>
      <c r="B32" s="124">
        <f t="shared" ref="B32:E32" si="7">SUM(B27:B31)</f>
        <v>36650</v>
      </c>
      <c r="C32" s="124">
        <f t="shared" si="7"/>
        <v>40150</v>
      </c>
      <c r="D32" s="124">
        <f t="shared" si="7"/>
        <v>51404</v>
      </c>
      <c r="E32" s="124">
        <f t="shared" si="7"/>
        <v>61260</v>
      </c>
      <c r="F32" s="83"/>
      <c r="G32" s="83"/>
      <c r="H32" s="83"/>
      <c r="I32" s="85"/>
      <c r="J32" s="85"/>
      <c r="K32" s="85"/>
      <c r="L32" s="85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>
      <c r="A33" s="83"/>
      <c r="B33" s="83"/>
      <c r="C33" s="83"/>
      <c r="D33" s="83"/>
      <c r="E33" s="83"/>
      <c r="F33" s="83"/>
      <c r="G33" s="83"/>
      <c r="H33" s="83"/>
      <c r="I33" s="85"/>
      <c r="J33" s="85"/>
      <c r="K33" s="85"/>
      <c r="L33" s="85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>
      <c r="A34" s="83"/>
      <c r="B34" s="83"/>
      <c r="C34" s="83"/>
      <c r="D34" s="83"/>
      <c r="E34" s="83"/>
      <c r="F34" s="83"/>
      <c r="G34" s="83"/>
      <c r="H34" s="83"/>
      <c r="I34" s="85"/>
      <c r="J34" s="85"/>
      <c r="K34" s="85"/>
      <c r="L34" s="85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>
      <c r="A35" s="83"/>
      <c r="B35" s="83"/>
      <c r="C35" s="83"/>
      <c r="D35" s="83"/>
      <c r="E35" s="83"/>
      <c r="F35" s="83"/>
      <c r="G35" s="83"/>
      <c r="H35" s="83"/>
      <c r="I35" s="85"/>
      <c r="J35" s="85"/>
      <c r="K35" s="85"/>
      <c r="L35" s="85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>
      <c r="A36" s="83"/>
      <c r="B36" s="83"/>
      <c r="C36" s="83"/>
      <c r="D36" s="83"/>
      <c r="E36" s="83"/>
      <c r="F36" s="83"/>
      <c r="G36" s="83"/>
      <c r="H36" s="83"/>
      <c r="I36" s="85"/>
      <c r="J36" s="85"/>
      <c r="K36" s="85"/>
      <c r="L36" s="85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>
      <c r="A37" s="83"/>
      <c r="B37" s="83"/>
      <c r="C37" s="83"/>
      <c r="D37" s="83"/>
      <c r="E37" s="83"/>
      <c r="F37" s="83"/>
      <c r="G37" s="83"/>
      <c r="H37" s="83"/>
      <c r="I37" s="85"/>
      <c r="J37" s="85"/>
      <c r="K37" s="85"/>
      <c r="L37" s="85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>
      <c r="A38" s="83"/>
      <c r="B38" s="83"/>
      <c r="C38" s="83"/>
      <c r="D38" s="83"/>
      <c r="E38" s="83"/>
      <c r="F38" s="83"/>
      <c r="G38" s="83"/>
      <c r="H38" s="83"/>
      <c r="I38" s="85"/>
      <c r="J38" s="85"/>
      <c r="K38" s="85"/>
      <c r="L38" s="85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>
      <c r="A39" s="83"/>
      <c r="B39" s="83"/>
      <c r="C39" s="83"/>
      <c r="D39" s="83"/>
      <c r="E39" s="83"/>
      <c r="F39" s="83"/>
      <c r="G39" s="83"/>
      <c r="H39" s="83"/>
      <c r="I39" s="85"/>
      <c r="J39" s="85"/>
      <c r="K39" s="85"/>
      <c r="L39" s="85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>
      <c r="A40" s="83"/>
      <c r="B40" s="83"/>
      <c r="C40" s="83"/>
      <c r="D40" s="83"/>
      <c r="E40" s="83"/>
      <c r="F40" s="83"/>
      <c r="G40" s="83"/>
      <c r="H40" s="83"/>
      <c r="I40" s="85"/>
      <c r="J40" s="85"/>
      <c r="K40" s="85"/>
      <c r="L40" s="85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>
      <c r="A41" s="83"/>
      <c r="B41" s="83"/>
      <c r="C41" s="83"/>
      <c r="D41" s="83"/>
      <c r="E41" s="83"/>
      <c r="F41" s="83"/>
      <c r="G41" s="83"/>
      <c r="H41" s="83"/>
      <c r="I41" s="85"/>
      <c r="J41" s="85"/>
      <c r="K41" s="85"/>
      <c r="L41" s="85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>
      <c r="A42" s="83"/>
      <c r="B42" s="83"/>
      <c r="C42" s="83"/>
      <c r="D42" s="83"/>
      <c r="E42" s="83"/>
      <c r="F42" s="83"/>
      <c r="G42" s="83"/>
      <c r="H42" s="83"/>
      <c r="I42" s="85"/>
      <c r="J42" s="85"/>
      <c r="K42" s="85"/>
      <c r="L42" s="85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>
      <c r="A43" s="83"/>
      <c r="B43" s="83"/>
      <c r="C43" s="83"/>
      <c r="D43" s="83"/>
      <c r="E43" s="83"/>
      <c r="F43" s="83"/>
      <c r="G43" s="83"/>
      <c r="H43" s="83"/>
      <c r="I43" s="85"/>
      <c r="J43" s="85"/>
      <c r="K43" s="85"/>
      <c r="L43" s="85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>
      <c r="A44" s="83"/>
      <c r="B44" s="83"/>
      <c r="C44" s="83"/>
      <c r="D44" s="83"/>
      <c r="E44" s="83"/>
      <c r="F44" s="83"/>
      <c r="G44" s="83"/>
      <c r="H44" s="83"/>
      <c r="I44" s="85"/>
      <c r="J44" s="85"/>
      <c r="K44" s="85"/>
      <c r="L44" s="85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>
      <c r="A45" s="83"/>
      <c r="B45" s="83"/>
      <c r="C45" s="83"/>
      <c r="D45" s="83"/>
      <c r="E45" s="83"/>
      <c r="F45" s="83"/>
      <c r="G45" s="83"/>
      <c r="H45" s="83"/>
      <c r="I45" s="85"/>
      <c r="J45" s="85"/>
      <c r="K45" s="85"/>
      <c r="L45" s="85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>
      <c r="A46" s="83"/>
      <c r="B46" s="83"/>
      <c r="C46" s="83"/>
      <c r="D46" s="83"/>
      <c r="E46" s="83"/>
      <c r="F46" s="83"/>
      <c r="G46" s="83"/>
      <c r="H46" s="83"/>
      <c r="I46" s="85"/>
      <c r="J46" s="85"/>
      <c r="K46" s="85"/>
      <c r="L46" s="85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>
      <c r="A47" s="83"/>
      <c r="B47" s="83"/>
      <c r="C47" s="83"/>
      <c r="D47" s="83"/>
      <c r="E47" s="83"/>
      <c r="F47" s="83"/>
      <c r="G47" s="83"/>
      <c r="H47" s="83"/>
      <c r="I47" s="85"/>
      <c r="J47" s="85"/>
      <c r="K47" s="85"/>
      <c r="L47" s="85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>
      <c r="A48" s="83"/>
      <c r="B48" s="83"/>
      <c r="C48" s="83"/>
      <c r="D48" s="83"/>
      <c r="E48" s="83"/>
      <c r="F48" s="83"/>
      <c r="G48" s="83"/>
      <c r="H48" s="83"/>
      <c r="I48" s="85"/>
      <c r="J48" s="85"/>
      <c r="K48" s="85"/>
      <c r="L48" s="85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>
      <c r="A49" s="83"/>
      <c r="B49" s="83"/>
      <c r="C49" s="83"/>
      <c r="D49" s="83"/>
      <c r="E49" s="83"/>
      <c r="F49" s="83"/>
      <c r="G49" s="83"/>
      <c r="H49" s="83"/>
      <c r="I49" s="85"/>
      <c r="J49" s="85"/>
      <c r="K49" s="85"/>
      <c r="L49" s="85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>
      <c r="A50" s="83"/>
      <c r="B50" s="83"/>
      <c r="C50" s="83"/>
      <c r="D50" s="83"/>
      <c r="E50" s="83"/>
      <c r="F50" s="83"/>
      <c r="G50" s="83"/>
      <c r="H50" s="83"/>
      <c r="I50" s="85"/>
      <c r="J50" s="85"/>
      <c r="K50" s="85"/>
      <c r="L50" s="85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>
      <c r="A51" s="83"/>
      <c r="B51" s="83"/>
      <c r="C51" s="83"/>
      <c r="D51" s="83"/>
      <c r="E51" s="83"/>
      <c r="F51" s="83"/>
      <c r="G51" s="83"/>
      <c r="H51" s="83"/>
      <c r="I51" s="85"/>
      <c r="J51" s="85"/>
      <c r="K51" s="85"/>
      <c r="L51" s="85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>
      <c r="A52" s="83"/>
      <c r="B52" s="83"/>
      <c r="C52" s="83"/>
      <c r="D52" s="83"/>
      <c r="E52" s="83"/>
      <c r="F52" s="83"/>
      <c r="G52" s="83"/>
      <c r="H52" s="83"/>
      <c r="I52" s="85"/>
      <c r="J52" s="85"/>
      <c r="K52" s="85"/>
      <c r="L52" s="85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>
      <c r="A53" s="83"/>
      <c r="B53" s="83"/>
      <c r="C53" s="83"/>
      <c r="D53" s="83"/>
      <c r="E53" s="83"/>
      <c r="F53" s="83"/>
      <c r="G53" s="83"/>
      <c r="H53" s="83"/>
      <c r="I53" s="85"/>
      <c r="J53" s="85"/>
      <c r="K53" s="85"/>
      <c r="L53" s="85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>
      <c r="A54" s="83"/>
      <c r="B54" s="83"/>
      <c r="C54" s="83"/>
      <c r="D54" s="83"/>
      <c r="E54" s="83"/>
      <c r="F54" s="83"/>
      <c r="G54" s="83"/>
      <c r="H54" s="83"/>
      <c r="I54" s="85"/>
      <c r="J54" s="85"/>
      <c r="K54" s="85"/>
      <c r="L54" s="85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>
      <c r="A55" s="83"/>
      <c r="B55" s="83"/>
      <c r="C55" s="83"/>
      <c r="D55" s="83"/>
      <c r="E55" s="83"/>
      <c r="F55" s="83"/>
      <c r="G55" s="83"/>
      <c r="H55" s="83"/>
      <c r="I55" s="85"/>
      <c r="J55" s="85"/>
      <c r="K55" s="85"/>
      <c r="L55" s="85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>
      <c r="A56" s="83"/>
      <c r="B56" s="83"/>
      <c r="C56" s="83"/>
      <c r="D56" s="83"/>
      <c r="E56" s="83"/>
      <c r="F56" s="83"/>
      <c r="G56" s="83"/>
      <c r="H56" s="83"/>
      <c r="I56" s="85"/>
      <c r="J56" s="85"/>
      <c r="K56" s="85"/>
      <c r="L56" s="85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>
      <c r="A57" s="83"/>
      <c r="B57" s="83"/>
      <c r="C57" s="83"/>
      <c r="D57" s="83"/>
      <c r="E57" s="83"/>
      <c r="F57" s="83"/>
      <c r="G57" s="83"/>
      <c r="H57" s="83"/>
      <c r="I57" s="85"/>
      <c r="J57" s="85"/>
      <c r="K57" s="85"/>
      <c r="L57" s="85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>
      <c r="A58" s="83"/>
      <c r="B58" s="83"/>
      <c r="C58" s="83"/>
      <c r="D58" s="83"/>
      <c r="E58" s="83"/>
      <c r="F58" s="83"/>
      <c r="G58" s="83"/>
      <c r="H58" s="83"/>
      <c r="I58" s="85"/>
      <c r="J58" s="85"/>
      <c r="K58" s="85"/>
      <c r="L58" s="85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>
      <c r="A59" s="83"/>
      <c r="B59" s="83"/>
      <c r="C59" s="83"/>
      <c r="D59" s="83"/>
      <c r="E59" s="83"/>
      <c r="F59" s="83"/>
      <c r="G59" s="83"/>
      <c r="H59" s="83"/>
      <c r="I59" s="85"/>
      <c r="J59" s="85"/>
      <c r="K59" s="85"/>
      <c r="L59" s="85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>
      <c r="A60" s="83"/>
      <c r="B60" s="83"/>
      <c r="C60" s="83"/>
      <c r="D60" s="83"/>
      <c r="E60" s="83"/>
      <c r="F60" s="83"/>
      <c r="G60" s="83"/>
      <c r="H60" s="83"/>
      <c r="I60" s="85"/>
      <c r="J60" s="85"/>
      <c r="K60" s="85"/>
      <c r="L60" s="85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>
      <c r="A61" s="83"/>
      <c r="B61" s="83"/>
      <c r="C61" s="83"/>
      <c r="D61" s="83"/>
      <c r="E61" s="83"/>
      <c r="F61" s="83"/>
      <c r="G61" s="83"/>
      <c r="H61" s="83"/>
      <c r="I61" s="85"/>
      <c r="J61" s="85"/>
      <c r="K61" s="85"/>
      <c r="L61" s="85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>
      <c r="A62" s="83"/>
      <c r="B62" s="83"/>
      <c r="C62" s="83"/>
      <c r="D62" s="83"/>
      <c r="E62" s="83"/>
      <c r="F62" s="83"/>
      <c r="G62" s="83"/>
      <c r="H62" s="83"/>
      <c r="I62" s="85"/>
      <c r="J62" s="85"/>
      <c r="K62" s="85"/>
      <c r="L62" s="85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>
      <c r="A63" s="83"/>
      <c r="B63" s="83"/>
      <c r="C63" s="83"/>
      <c r="D63" s="83"/>
      <c r="E63" s="83"/>
      <c r="F63" s="83"/>
      <c r="G63" s="83"/>
      <c r="H63" s="83"/>
      <c r="I63" s="85"/>
      <c r="J63" s="85"/>
      <c r="K63" s="85"/>
      <c r="L63" s="85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>
      <c r="A64" s="83"/>
      <c r="B64" s="83"/>
      <c r="C64" s="83"/>
      <c r="D64" s="83"/>
      <c r="E64" s="83"/>
      <c r="F64" s="83"/>
      <c r="G64" s="83"/>
      <c r="H64" s="83"/>
      <c r="I64" s="85"/>
      <c r="J64" s="85"/>
      <c r="K64" s="85"/>
      <c r="L64" s="85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>
      <c r="A65" s="83"/>
      <c r="B65" s="83"/>
      <c r="C65" s="83"/>
      <c r="D65" s="83"/>
      <c r="E65" s="83"/>
      <c r="F65" s="83"/>
      <c r="G65" s="83"/>
      <c r="H65" s="83"/>
      <c r="I65" s="85"/>
      <c r="J65" s="85"/>
      <c r="K65" s="85"/>
      <c r="L65" s="85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>
      <c r="A66" s="83"/>
      <c r="B66" s="83"/>
      <c r="C66" s="83"/>
      <c r="D66" s="83"/>
      <c r="E66" s="83"/>
      <c r="F66" s="83"/>
      <c r="G66" s="83"/>
      <c r="H66" s="83"/>
      <c r="I66" s="85"/>
      <c r="J66" s="85"/>
      <c r="K66" s="85"/>
      <c r="L66" s="85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>
      <c r="A67" s="83"/>
      <c r="B67" s="83"/>
      <c r="C67" s="83"/>
      <c r="D67" s="83"/>
      <c r="E67" s="83"/>
      <c r="F67" s="83"/>
      <c r="G67" s="83"/>
      <c r="H67" s="83"/>
      <c r="I67" s="85"/>
      <c r="J67" s="85"/>
      <c r="K67" s="85"/>
      <c r="L67" s="85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>
      <c r="A68" s="83"/>
      <c r="B68" s="83"/>
      <c r="C68" s="83"/>
      <c r="D68" s="83"/>
      <c r="E68" s="83"/>
      <c r="F68" s="83"/>
      <c r="G68" s="83"/>
      <c r="H68" s="83"/>
      <c r="I68" s="85"/>
      <c r="J68" s="85"/>
      <c r="K68" s="85"/>
      <c r="L68" s="85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>
      <c r="A69" s="83"/>
      <c r="B69" s="83"/>
      <c r="C69" s="83"/>
      <c r="D69" s="83"/>
      <c r="E69" s="83"/>
      <c r="F69" s="83"/>
      <c r="G69" s="83"/>
      <c r="H69" s="83"/>
      <c r="I69" s="85"/>
      <c r="J69" s="85"/>
      <c r="K69" s="85"/>
      <c r="L69" s="85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>
      <c r="A70" s="83"/>
      <c r="B70" s="83"/>
      <c r="C70" s="83"/>
      <c r="D70" s="83"/>
      <c r="E70" s="83"/>
      <c r="F70" s="83"/>
      <c r="G70" s="83"/>
      <c r="H70" s="83"/>
      <c r="I70" s="85"/>
      <c r="J70" s="85"/>
      <c r="K70" s="85"/>
      <c r="L70" s="85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>
      <c r="A71" s="83"/>
      <c r="B71" s="83"/>
      <c r="C71" s="83"/>
      <c r="D71" s="83"/>
      <c r="E71" s="83"/>
      <c r="F71" s="83"/>
      <c r="G71" s="83"/>
      <c r="H71" s="83"/>
      <c r="I71" s="85"/>
      <c r="J71" s="85"/>
      <c r="K71" s="85"/>
      <c r="L71" s="85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>
      <c r="A72" s="83"/>
      <c r="B72" s="83"/>
      <c r="C72" s="83"/>
      <c r="D72" s="83"/>
      <c r="E72" s="83"/>
      <c r="F72" s="83"/>
      <c r="G72" s="83"/>
      <c r="H72" s="83"/>
      <c r="I72" s="85"/>
      <c r="J72" s="85"/>
      <c r="K72" s="85"/>
      <c r="L72" s="85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>
      <c r="A73" s="83"/>
      <c r="B73" s="83"/>
      <c r="C73" s="83"/>
      <c r="D73" s="83"/>
      <c r="E73" s="83"/>
      <c r="F73" s="83"/>
      <c r="G73" s="83"/>
      <c r="H73" s="83"/>
      <c r="I73" s="85"/>
      <c r="J73" s="85"/>
      <c r="K73" s="85"/>
      <c r="L73" s="85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>
      <c r="A74" s="83"/>
      <c r="B74" s="83"/>
      <c r="C74" s="83"/>
      <c r="D74" s="83"/>
      <c r="E74" s="83"/>
      <c r="F74" s="83"/>
      <c r="G74" s="83"/>
      <c r="H74" s="83"/>
      <c r="I74" s="85"/>
      <c r="J74" s="85"/>
      <c r="K74" s="85"/>
      <c r="L74" s="85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>
      <c r="A75" s="83"/>
      <c r="B75" s="83"/>
      <c r="C75" s="83"/>
      <c r="D75" s="83"/>
      <c r="E75" s="83"/>
      <c r="F75" s="83"/>
      <c r="G75" s="83"/>
      <c r="H75" s="83"/>
      <c r="I75" s="85"/>
      <c r="J75" s="85"/>
      <c r="K75" s="85"/>
      <c r="L75" s="85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>
      <c r="A76" s="83"/>
      <c r="B76" s="83"/>
      <c r="C76" s="83"/>
      <c r="D76" s="83"/>
      <c r="E76" s="83"/>
      <c r="F76" s="83"/>
      <c r="G76" s="83"/>
      <c r="H76" s="83"/>
      <c r="I76" s="85"/>
      <c r="J76" s="85"/>
      <c r="K76" s="85"/>
      <c r="L76" s="85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>
      <c r="A77" s="83"/>
      <c r="B77" s="83"/>
      <c r="C77" s="83"/>
      <c r="D77" s="83"/>
      <c r="E77" s="83"/>
      <c r="F77" s="83"/>
      <c r="G77" s="83"/>
      <c r="H77" s="83"/>
      <c r="I77" s="85"/>
      <c r="J77" s="85"/>
      <c r="K77" s="85"/>
      <c r="L77" s="85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>
      <c r="A78" s="83"/>
      <c r="B78" s="83"/>
      <c r="C78" s="83"/>
      <c r="D78" s="83"/>
      <c r="E78" s="83"/>
      <c r="F78" s="83"/>
      <c r="G78" s="83"/>
      <c r="H78" s="83"/>
      <c r="I78" s="85"/>
      <c r="J78" s="85"/>
      <c r="K78" s="85"/>
      <c r="L78" s="85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>
      <c r="A79" s="83"/>
      <c r="B79" s="83"/>
      <c r="C79" s="83"/>
      <c r="D79" s="83"/>
      <c r="E79" s="83"/>
      <c r="F79" s="83"/>
      <c r="G79" s="83"/>
      <c r="H79" s="83"/>
      <c r="I79" s="85"/>
      <c r="J79" s="85"/>
      <c r="K79" s="85"/>
      <c r="L79" s="85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>
      <c r="A80" s="83"/>
      <c r="B80" s="83"/>
      <c r="C80" s="83"/>
      <c r="D80" s="83"/>
      <c r="E80" s="83"/>
      <c r="F80" s="83"/>
      <c r="G80" s="83"/>
      <c r="H80" s="83"/>
      <c r="I80" s="85"/>
      <c r="J80" s="85"/>
      <c r="K80" s="85"/>
      <c r="L80" s="85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>
      <c r="A81" s="83"/>
      <c r="B81" s="83"/>
      <c r="C81" s="83"/>
      <c r="D81" s="83"/>
      <c r="E81" s="83"/>
      <c r="F81" s="83"/>
      <c r="G81" s="83"/>
      <c r="H81" s="83"/>
      <c r="I81" s="85"/>
      <c r="J81" s="85"/>
      <c r="K81" s="85"/>
      <c r="L81" s="85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>
      <c r="A82" s="83"/>
      <c r="B82" s="83"/>
      <c r="C82" s="83"/>
      <c r="D82" s="83"/>
      <c r="E82" s="83"/>
      <c r="F82" s="83"/>
      <c r="G82" s="83"/>
      <c r="H82" s="83"/>
      <c r="I82" s="85"/>
      <c r="J82" s="85"/>
      <c r="K82" s="85"/>
      <c r="L82" s="85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>
      <c r="A83" s="83"/>
      <c r="B83" s="83"/>
      <c r="C83" s="83"/>
      <c r="D83" s="83"/>
      <c r="E83" s="83"/>
      <c r="F83" s="83"/>
      <c r="G83" s="83"/>
      <c r="H83" s="83"/>
      <c r="I83" s="85"/>
      <c r="J83" s="85"/>
      <c r="K83" s="85"/>
      <c r="L83" s="85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>
      <c r="A84" s="83"/>
      <c r="B84" s="83"/>
      <c r="C84" s="83"/>
      <c r="D84" s="83"/>
      <c r="E84" s="83"/>
      <c r="F84" s="83"/>
      <c r="G84" s="83"/>
      <c r="H84" s="83"/>
      <c r="I84" s="85"/>
      <c r="J84" s="85"/>
      <c r="K84" s="85"/>
      <c r="L84" s="85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>
      <c r="A85" s="83"/>
      <c r="B85" s="83"/>
      <c r="C85" s="83"/>
      <c r="D85" s="83"/>
      <c r="E85" s="83"/>
      <c r="F85" s="83"/>
      <c r="G85" s="83"/>
      <c r="H85" s="83"/>
      <c r="I85" s="85"/>
      <c r="J85" s="85"/>
      <c r="K85" s="85"/>
      <c r="L85" s="85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>
      <c r="A86" s="83"/>
      <c r="B86" s="83"/>
      <c r="C86" s="83"/>
      <c r="D86" s="83"/>
      <c r="E86" s="83"/>
      <c r="F86" s="83"/>
      <c r="G86" s="83"/>
      <c r="H86" s="83"/>
      <c r="I86" s="85"/>
      <c r="J86" s="85"/>
      <c r="K86" s="85"/>
      <c r="L86" s="85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>
      <c r="A87" s="83"/>
      <c r="B87" s="83"/>
      <c r="C87" s="83"/>
      <c r="D87" s="83"/>
      <c r="E87" s="83"/>
      <c r="F87" s="83"/>
      <c r="G87" s="83"/>
      <c r="H87" s="83"/>
      <c r="I87" s="85"/>
      <c r="J87" s="85"/>
      <c r="K87" s="85"/>
      <c r="L87" s="85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>
      <c r="A88" s="83"/>
      <c r="B88" s="83"/>
      <c r="C88" s="83"/>
      <c r="D88" s="83"/>
      <c r="E88" s="83"/>
      <c r="F88" s="83"/>
      <c r="G88" s="83"/>
      <c r="H88" s="83"/>
      <c r="I88" s="85"/>
      <c r="J88" s="85"/>
      <c r="K88" s="85"/>
      <c r="L88" s="85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>
      <c r="A89" s="83"/>
      <c r="B89" s="83"/>
      <c r="C89" s="83"/>
      <c r="D89" s="83"/>
      <c r="E89" s="83"/>
      <c r="F89" s="83"/>
      <c r="G89" s="83"/>
      <c r="H89" s="83"/>
      <c r="I89" s="85"/>
      <c r="J89" s="85"/>
      <c r="K89" s="85"/>
      <c r="L89" s="85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>
      <c r="A90" s="83"/>
      <c r="B90" s="83"/>
      <c r="C90" s="83"/>
      <c r="D90" s="83"/>
      <c r="E90" s="83"/>
      <c r="F90" s="83"/>
      <c r="G90" s="83"/>
      <c r="H90" s="83"/>
      <c r="I90" s="85"/>
      <c r="J90" s="85"/>
      <c r="K90" s="85"/>
      <c r="L90" s="85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>
      <c r="A91" s="83"/>
      <c r="B91" s="83"/>
      <c r="C91" s="83"/>
      <c r="D91" s="83"/>
      <c r="E91" s="83"/>
      <c r="F91" s="83"/>
      <c r="G91" s="83"/>
      <c r="H91" s="83"/>
      <c r="I91" s="85"/>
      <c r="J91" s="85"/>
      <c r="K91" s="85"/>
      <c r="L91" s="85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>
      <c r="A92" s="83"/>
      <c r="B92" s="83"/>
      <c r="C92" s="83"/>
      <c r="D92" s="83"/>
      <c r="E92" s="83"/>
      <c r="F92" s="83"/>
      <c r="G92" s="83"/>
      <c r="H92" s="83"/>
      <c r="I92" s="85"/>
      <c r="J92" s="85"/>
      <c r="K92" s="85"/>
      <c r="L92" s="85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>
      <c r="A93" s="83"/>
      <c r="B93" s="83"/>
      <c r="C93" s="83"/>
      <c r="D93" s="83"/>
      <c r="E93" s="83"/>
      <c r="F93" s="83"/>
      <c r="G93" s="83"/>
      <c r="H93" s="83"/>
      <c r="I93" s="85"/>
      <c r="J93" s="85"/>
      <c r="K93" s="85"/>
      <c r="L93" s="85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>
      <c r="A94" s="83"/>
      <c r="B94" s="83"/>
      <c r="C94" s="83"/>
      <c r="D94" s="83"/>
      <c r="E94" s="83"/>
      <c r="F94" s="83"/>
      <c r="G94" s="83"/>
      <c r="H94" s="83"/>
      <c r="I94" s="85"/>
      <c r="J94" s="85"/>
      <c r="K94" s="85"/>
      <c r="L94" s="85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>
      <c r="A95" s="83"/>
      <c r="B95" s="83"/>
      <c r="C95" s="83"/>
      <c r="D95" s="83"/>
      <c r="E95" s="83"/>
      <c r="F95" s="83"/>
      <c r="G95" s="83"/>
      <c r="H95" s="83"/>
      <c r="I95" s="85"/>
      <c r="J95" s="85"/>
      <c r="K95" s="85"/>
      <c r="L95" s="85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>
      <c r="A96" s="83"/>
      <c r="B96" s="83"/>
      <c r="C96" s="83"/>
      <c r="D96" s="83"/>
      <c r="E96" s="83"/>
      <c r="F96" s="83"/>
      <c r="G96" s="83"/>
      <c r="H96" s="83"/>
      <c r="I96" s="85"/>
      <c r="J96" s="85"/>
      <c r="K96" s="85"/>
      <c r="L96" s="85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>
      <c r="A97" s="83"/>
      <c r="B97" s="83"/>
      <c r="C97" s="83"/>
      <c r="D97" s="83"/>
      <c r="E97" s="83"/>
      <c r="F97" s="83"/>
      <c r="G97" s="83"/>
      <c r="H97" s="83"/>
      <c r="I97" s="85"/>
      <c r="J97" s="85"/>
      <c r="K97" s="85"/>
      <c r="L97" s="85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>
      <c r="A98" s="83"/>
      <c r="B98" s="83"/>
      <c r="C98" s="83"/>
      <c r="D98" s="83"/>
      <c r="E98" s="83"/>
      <c r="F98" s="83"/>
      <c r="G98" s="83"/>
      <c r="H98" s="83"/>
      <c r="I98" s="85"/>
      <c r="J98" s="85"/>
      <c r="K98" s="85"/>
      <c r="L98" s="85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>
      <c r="A99" s="83"/>
      <c r="B99" s="83"/>
      <c r="C99" s="83"/>
      <c r="D99" s="83"/>
      <c r="E99" s="83"/>
      <c r="F99" s="83"/>
      <c r="G99" s="83"/>
      <c r="H99" s="83"/>
      <c r="I99" s="85"/>
      <c r="J99" s="85"/>
      <c r="K99" s="85"/>
      <c r="L99" s="85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>
      <c r="A100" s="83"/>
      <c r="B100" s="83"/>
      <c r="C100" s="83"/>
      <c r="D100" s="83"/>
      <c r="E100" s="83"/>
      <c r="F100" s="83"/>
      <c r="G100" s="83"/>
      <c r="H100" s="83"/>
      <c r="I100" s="85"/>
      <c r="J100" s="85"/>
      <c r="K100" s="85"/>
      <c r="L100" s="85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>
      <c r="A101" s="83"/>
      <c r="B101" s="83"/>
      <c r="C101" s="83"/>
      <c r="D101" s="83"/>
      <c r="E101" s="83"/>
      <c r="F101" s="83"/>
      <c r="G101" s="83"/>
      <c r="H101" s="83"/>
      <c r="I101" s="85"/>
      <c r="J101" s="85"/>
      <c r="K101" s="85"/>
      <c r="L101" s="85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>
      <c r="A102" s="83"/>
      <c r="B102" s="83"/>
      <c r="C102" s="83"/>
      <c r="D102" s="83"/>
      <c r="E102" s="83"/>
      <c r="F102" s="83"/>
      <c r="G102" s="83"/>
      <c r="H102" s="83"/>
      <c r="I102" s="85"/>
      <c r="J102" s="85"/>
      <c r="K102" s="85"/>
      <c r="L102" s="85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>
      <c r="A103" s="83"/>
      <c r="B103" s="83"/>
      <c r="C103" s="83"/>
      <c r="D103" s="83"/>
      <c r="E103" s="83"/>
      <c r="F103" s="83"/>
      <c r="G103" s="83"/>
      <c r="H103" s="83"/>
      <c r="I103" s="85"/>
      <c r="J103" s="85"/>
      <c r="K103" s="85"/>
      <c r="L103" s="85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>
      <c r="A104" s="83"/>
      <c r="B104" s="83"/>
      <c r="C104" s="83"/>
      <c r="D104" s="83"/>
      <c r="E104" s="83"/>
      <c r="F104" s="83"/>
      <c r="G104" s="83"/>
      <c r="H104" s="83"/>
      <c r="I104" s="85"/>
      <c r="J104" s="85"/>
      <c r="K104" s="85"/>
      <c r="L104" s="85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>
      <c r="A105" s="83"/>
      <c r="B105" s="83"/>
      <c r="C105" s="83"/>
      <c r="D105" s="83"/>
      <c r="E105" s="83"/>
      <c r="F105" s="83"/>
      <c r="G105" s="83"/>
      <c r="H105" s="83"/>
      <c r="I105" s="85"/>
      <c r="J105" s="85"/>
      <c r="K105" s="85"/>
      <c r="L105" s="85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>
      <c r="A106" s="83"/>
      <c r="B106" s="83"/>
      <c r="C106" s="83"/>
      <c r="D106" s="83"/>
      <c r="E106" s="83"/>
      <c r="F106" s="83"/>
      <c r="G106" s="83"/>
      <c r="H106" s="83"/>
      <c r="I106" s="85"/>
      <c r="J106" s="85"/>
      <c r="K106" s="85"/>
      <c r="L106" s="85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>
      <c r="A107" s="83"/>
      <c r="B107" s="83"/>
      <c r="C107" s="83"/>
      <c r="D107" s="83"/>
      <c r="E107" s="83"/>
      <c r="F107" s="83"/>
      <c r="G107" s="83"/>
      <c r="H107" s="83"/>
      <c r="I107" s="85"/>
      <c r="J107" s="85"/>
      <c r="K107" s="85"/>
      <c r="L107" s="85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>
      <c r="A108" s="83"/>
      <c r="B108" s="83"/>
      <c r="C108" s="83"/>
      <c r="D108" s="83"/>
      <c r="E108" s="83"/>
      <c r="F108" s="83"/>
      <c r="G108" s="83"/>
      <c r="H108" s="83"/>
      <c r="I108" s="85"/>
      <c r="J108" s="85"/>
      <c r="K108" s="85"/>
      <c r="L108" s="85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>
      <c r="A109" s="83"/>
      <c r="B109" s="83"/>
      <c r="C109" s="83"/>
      <c r="D109" s="83"/>
      <c r="E109" s="83"/>
      <c r="F109" s="83"/>
      <c r="G109" s="83"/>
      <c r="H109" s="83"/>
      <c r="I109" s="85"/>
      <c r="J109" s="85"/>
      <c r="K109" s="85"/>
      <c r="L109" s="85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>
      <c r="A110" s="83"/>
      <c r="B110" s="83"/>
      <c r="C110" s="83"/>
      <c r="D110" s="83"/>
      <c r="E110" s="83"/>
      <c r="F110" s="83"/>
      <c r="G110" s="83"/>
      <c r="H110" s="83"/>
      <c r="I110" s="85"/>
      <c r="J110" s="85"/>
      <c r="K110" s="85"/>
      <c r="L110" s="85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>
      <c r="A111" s="83"/>
      <c r="B111" s="83"/>
      <c r="C111" s="83"/>
      <c r="D111" s="83"/>
      <c r="E111" s="83"/>
      <c r="F111" s="83"/>
      <c r="G111" s="83"/>
      <c r="H111" s="83"/>
      <c r="I111" s="85"/>
      <c r="J111" s="85"/>
      <c r="K111" s="85"/>
      <c r="L111" s="85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>
      <c r="A112" s="83"/>
      <c r="B112" s="83"/>
      <c r="C112" s="83"/>
      <c r="D112" s="83"/>
      <c r="E112" s="83"/>
      <c r="F112" s="83"/>
      <c r="G112" s="83"/>
      <c r="H112" s="83"/>
      <c r="I112" s="85"/>
      <c r="J112" s="85"/>
      <c r="K112" s="85"/>
      <c r="L112" s="85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>
      <c r="A113" s="83"/>
      <c r="B113" s="83"/>
      <c r="C113" s="83"/>
      <c r="D113" s="83"/>
      <c r="E113" s="83"/>
      <c r="F113" s="83"/>
      <c r="G113" s="83"/>
      <c r="H113" s="83"/>
      <c r="I113" s="85"/>
      <c r="J113" s="85"/>
      <c r="K113" s="85"/>
      <c r="L113" s="85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>
      <c r="A114" s="83"/>
      <c r="B114" s="83"/>
      <c r="C114" s="83"/>
      <c r="D114" s="83"/>
      <c r="E114" s="83"/>
      <c r="F114" s="83"/>
      <c r="G114" s="83"/>
      <c r="H114" s="83"/>
      <c r="I114" s="85"/>
      <c r="J114" s="85"/>
      <c r="K114" s="85"/>
      <c r="L114" s="85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>
      <c r="A115" s="83"/>
      <c r="B115" s="83"/>
      <c r="C115" s="83"/>
      <c r="D115" s="83"/>
      <c r="E115" s="83"/>
      <c r="F115" s="83"/>
      <c r="G115" s="83"/>
      <c r="H115" s="83"/>
      <c r="I115" s="85"/>
      <c r="J115" s="85"/>
      <c r="K115" s="85"/>
      <c r="L115" s="85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>
      <c r="A116" s="83"/>
      <c r="B116" s="83"/>
      <c r="C116" s="83"/>
      <c r="D116" s="83"/>
      <c r="E116" s="83"/>
      <c r="F116" s="83"/>
      <c r="G116" s="83"/>
      <c r="H116" s="83"/>
      <c r="I116" s="85"/>
      <c r="J116" s="85"/>
      <c r="K116" s="85"/>
      <c r="L116" s="85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>
      <c r="A117" s="83"/>
      <c r="B117" s="83"/>
      <c r="C117" s="83"/>
      <c r="D117" s="83"/>
      <c r="E117" s="83"/>
      <c r="F117" s="83"/>
      <c r="G117" s="83"/>
      <c r="H117" s="83"/>
      <c r="I117" s="85"/>
      <c r="J117" s="85"/>
      <c r="K117" s="85"/>
      <c r="L117" s="85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>
      <c r="A118" s="83"/>
      <c r="B118" s="83"/>
      <c r="C118" s="83"/>
      <c r="D118" s="83"/>
      <c r="E118" s="83"/>
      <c r="F118" s="83"/>
      <c r="G118" s="83"/>
      <c r="H118" s="83"/>
      <c r="I118" s="85"/>
      <c r="J118" s="85"/>
      <c r="K118" s="85"/>
      <c r="L118" s="85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>
      <c r="A119" s="83"/>
      <c r="B119" s="83"/>
      <c r="C119" s="83"/>
      <c r="D119" s="83"/>
      <c r="E119" s="83"/>
      <c r="F119" s="83"/>
      <c r="G119" s="83"/>
      <c r="H119" s="83"/>
      <c r="I119" s="85"/>
      <c r="J119" s="85"/>
      <c r="K119" s="85"/>
      <c r="L119" s="85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>
      <c r="A120" s="83"/>
      <c r="B120" s="83"/>
      <c r="C120" s="83"/>
      <c r="D120" s="83"/>
      <c r="E120" s="83"/>
      <c r="F120" s="83"/>
      <c r="G120" s="83"/>
      <c r="H120" s="83"/>
      <c r="I120" s="85"/>
      <c r="J120" s="85"/>
      <c r="K120" s="85"/>
      <c r="L120" s="85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>
      <c r="A121" s="83"/>
      <c r="B121" s="83"/>
      <c r="C121" s="83"/>
      <c r="D121" s="83"/>
      <c r="E121" s="83"/>
      <c r="F121" s="83"/>
      <c r="G121" s="83"/>
      <c r="H121" s="83"/>
      <c r="I121" s="85"/>
      <c r="J121" s="85"/>
      <c r="K121" s="85"/>
      <c r="L121" s="85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>
      <c r="A122" s="83"/>
      <c r="B122" s="83"/>
      <c r="C122" s="83"/>
      <c r="D122" s="83"/>
      <c r="E122" s="83"/>
      <c r="F122" s="83"/>
      <c r="G122" s="83"/>
      <c r="H122" s="83"/>
      <c r="I122" s="85"/>
      <c r="J122" s="85"/>
      <c r="K122" s="85"/>
      <c r="L122" s="85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>
      <c r="A123" s="83"/>
      <c r="B123" s="83"/>
      <c r="C123" s="83"/>
      <c r="D123" s="83"/>
      <c r="E123" s="83"/>
      <c r="F123" s="83"/>
      <c r="G123" s="83"/>
      <c r="H123" s="83"/>
      <c r="I123" s="85"/>
      <c r="J123" s="85"/>
      <c r="K123" s="85"/>
      <c r="L123" s="85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>
      <c r="A124" s="83"/>
      <c r="B124" s="83"/>
      <c r="C124" s="83"/>
      <c r="D124" s="83"/>
      <c r="E124" s="83"/>
      <c r="F124" s="83"/>
      <c r="G124" s="83"/>
      <c r="H124" s="83"/>
      <c r="I124" s="85"/>
      <c r="J124" s="85"/>
      <c r="K124" s="85"/>
      <c r="L124" s="85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5"/>
      <c r="J125" s="85"/>
      <c r="K125" s="85"/>
      <c r="L125" s="85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5"/>
      <c r="J126" s="85"/>
      <c r="K126" s="85"/>
      <c r="L126" s="85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5"/>
      <c r="J127" s="85"/>
      <c r="K127" s="85"/>
      <c r="L127" s="85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5"/>
      <c r="J128" s="85"/>
      <c r="K128" s="85"/>
      <c r="L128" s="85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5"/>
      <c r="J129" s="85"/>
      <c r="K129" s="85"/>
      <c r="L129" s="85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>
      <c r="A130" s="83"/>
      <c r="B130" s="83"/>
      <c r="C130" s="83"/>
      <c r="D130" s="83"/>
      <c r="E130" s="83"/>
      <c r="F130" s="83"/>
      <c r="G130" s="83"/>
      <c r="H130" s="83"/>
      <c r="I130" s="85"/>
      <c r="J130" s="85"/>
      <c r="K130" s="85"/>
      <c r="L130" s="85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5"/>
      <c r="J131" s="85"/>
      <c r="K131" s="85"/>
      <c r="L131" s="85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>
      <c r="A132" s="83"/>
      <c r="B132" s="83"/>
      <c r="C132" s="83"/>
      <c r="D132" s="83"/>
      <c r="E132" s="83"/>
      <c r="F132" s="83"/>
      <c r="G132" s="83"/>
      <c r="H132" s="83"/>
      <c r="I132" s="85"/>
      <c r="J132" s="85"/>
      <c r="K132" s="85"/>
      <c r="L132" s="85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5"/>
      <c r="J133" s="85"/>
      <c r="K133" s="85"/>
      <c r="L133" s="85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5"/>
      <c r="J134" s="85"/>
      <c r="K134" s="85"/>
      <c r="L134" s="85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5"/>
      <c r="J135" s="85"/>
      <c r="K135" s="85"/>
      <c r="L135" s="85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5"/>
      <c r="J136" s="85"/>
      <c r="K136" s="85"/>
      <c r="L136" s="85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5"/>
      <c r="J137" s="85"/>
      <c r="K137" s="85"/>
      <c r="L137" s="85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5"/>
      <c r="J138" s="85"/>
      <c r="K138" s="85"/>
      <c r="L138" s="85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5"/>
      <c r="J139" s="85"/>
      <c r="K139" s="85"/>
      <c r="L139" s="85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5"/>
      <c r="J140" s="85"/>
      <c r="K140" s="85"/>
      <c r="L140" s="85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5"/>
      <c r="J141" s="85"/>
      <c r="K141" s="85"/>
      <c r="L141" s="85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5"/>
      <c r="J142" s="85"/>
      <c r="K142" s="85"/>
      <c r="L142" s="85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5"/>
      <c r="J143" s="85"/>
      <c r="K143" s="85"/>
      <c r="L143" s="85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5"/>
      <c r="J144" s="85"/>
      <c r="K144" s="85"/>
      <c r="L144" s="85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5"/>
      <c r="J145" s="85"/>
      <c r="K145" s="85"/>
      <c r="L145" s="85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5"/>
      <c r="J146" s="85"/>
      <c r="K146" s="85"/>
      <c r="L146" s="85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5"/>
      <c r="J147" s="85"/>
      <c r="K147" s="85"/>
      <c r="L147" s="85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5"/>
      <c r="J148" s="85"/>
      <c r="K148" s="85"/>
      <c r="L148" s="85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5"/>
      <c r="J149" s="85"/>
      <c r="K149" s="85"/>
      <c r="L149" s="85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5"/>
      <c r="J150" s="85"/>
      <c r="K150" s="85"/>
      <c r="L150" s="85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5"/>
      <c r="J151" s="85"/>
      <c r="K151" s="85"/>
      <c r="L151" s="85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5"/>
      <c r="J152" s="85"/>
      <c r="K152" s="85"/>
      <c r="L152" s="85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5"/>
      <c r="J153" s="85"/>
      <c r="K153" s="85"/>
      <c r="L153" s="85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5"/>
      <c r="J154" s="85"/>
      <c r="K154" s="85"/>
      <c r="L154" s="85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5"/>
      <c r="J155" s="85"/>
      <c r="K155" s="85"/>
      <c r="L155" s="85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5"/>
      <c r="J156" s="85"/>
      <c r="K156" s="85"/>
      <c r="L156" s="85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5"/>
      <c r="J157" s="85"/>
      <c r="K157" s="85"/>
      <c r="L157" s="85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5"/>
      <c r="J158" s="85"/>
      <c r="K158" s="85"/>
      <c r="L158" s="85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5"/>
      <c r="J159" s="85"/>
      <c r="K159" s="85"/>
      <c r="L159" s="85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5"/>
      <c r="J160" s="85"/>
      <c r="K160" s="85"/>
      <c r="L160" s="85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5"/>
      <c r="J161" s="85"/>
      <c r="K161" s="85"/>
      <c r="L161" s="85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5"/>
      <c r="J162" s="85"/>
      <c r="K162" s="85"/>
      <c r="L162" s="85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5"/>
      <c r="J163" s="85"/>
      <c r="K163" s="85"/>
      <c r="L163" s="85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5"/>
      <c r="J164" s="85"/>
      <c r="K164" s="85"/>
      <c r="L164" s="85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5"/>
      <c r="J165" s="85"/>
      <c r="K165" s="85"/>
      <c r="L165" s="85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5"/>
      <c r="J166" s="85"/>
      <c r="K166" s="85"/>
      <c r="L166" s="85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5"/>
      <c r="J167" s="85"/>
      <c r="K167" s="85"/>
      <c r="L167" s="85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5"/>
      <c r="J168" s="85"/>
      <c r="K168" s="85"/>
      <c r="L168" s="85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5"/>
      <c r="J169" s="85"/>
      <c r="K169" s="85"/>
      <c r="L169" s="85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5"/>
      <c r="J170" s="85"/>
      <c r="K170" s="85"/>
      <c r="L170" s="85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5"/>
      <c r="J171" s="85"/>
      <c r="K171" s="85"/>
      <c r="L171" s="85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5"/>
      <c r="J172" s="85"/>
      <c r="K172" s="85"/>
      <c r="L172" s="85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5"/>
      <c r="J173" s="85"/>
      <c r="K173" s="85"/>
      <c r="L173" s="85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5"/>
      <c r="J174" s="85"/>
      <c r="K174" s="85"/>
      <c r="L174" s="85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5"/>
      <c r="J175" s="85"/>
      <c r="K175" s="85"/>
      <c r="L175" s="85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5"/>
      <c r="J176" s="85"/>
      <c r="K176" s="85"/>
      <c r="L176" s="85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5"/>
      <c r="J177" s="85"/>
      <c r="K177" s="85"/>
      <c r="L177" s="85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5"/>
      <c r="J178" s="85"/>
      <c r="K178" s="85"/>
      <c r="L178" s="85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5"/>
      <c r="J179" s="85"/>
      <c r="K179" s="85"/>
      <c r="L179" s="85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5"/>
      <c r="J180" s="85"/>
      <c r="K180" s="85"/>
      <c r="L180" s="85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5"/>
      <c r="J181" s="85"/>
      <c r="K181" s="85"/>
      <c r="L181" s="85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5"/>
      <c r="J182" s="85"/>
      <c r="K182" s="85"/>
      <c r="L182" s="85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5"/>
      <c r="J183" s="85"/>
      <c r="K183" s="85"/>
      <c r="L183" s="85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5"/>
      <c r="J184" s="85"/>
      <c r="K184" s="85"/>
      <c r="L184" s="85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5"/>
      <c r="J185" s="85"/>
      <c r="K185" s="85"/>
      <c r="L185" s="85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5"/>
      <c r="J186" s="85"/>
      <c r="K186" s="85"/>
      <c r="L186" s="85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5"/>
      <c r="J187" s="85"/>
      <c r="K187" s="85"/>
      <c r="L187" s="85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5"/>
      <c r="J188" s="85"/>
      <c r="K188" s="85"/>
      <c r="L188" s="85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5"/>
      <c r="J189" s="85"/>
      <c r="K189" s="85"/>
      <c r="L189" s="85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5"/>
      <c r="J190" s="85"/>
      <c r="K190" s="85"/>
      <c r="L190" s="85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5"/>
      <c r="J191" s="85"/>
      <c r="K191" s="85"/>
      <c r="L191" s="85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5"/>
      <c r="J192" s="85"/>
      <c r="K192" s="85"/>
      <c r="L192" s="85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5"/>
      <c r="J193" s="85"/>
      <c r="K193" s="85"/>
      <c r="L193" s="85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5"/>
      <c r="J194" s="85"/>
      <c r="K194" s="85"/>
      <c r="L194" s="85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5"/>
      <c r="J195" s="85"/>
      <c r="K195" s="85"/>
      <c r="L195" s="85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5"/>
      <c r="J196" s="85"/>
      <c r="K196" s="85"/>
      <c r="L196" s="85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5"/>
      <c r="J197" s="85"/>
      <c r="K197" s="85"/>
      <c r="L197" s="85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5"/>
      <c r="J198" s="85"/>
      <c r="K198" s="85"/>
      <c r="L198" s="85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5"/>
      <c r="J199" s="85"/>
      <c r="K199" s="85"/>
      <c r="L199" s="85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5"/>
      <c r="J200" s="85"/>
      <c r="K200" s="85"/>
      <c r="L200" s="85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5"/>
      <c r="J201" s="85"/>
      <c r="K201" s="85"/>
      <c r="L201" s="85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5"/>
      <c r="J202" s="85"/>
      <c r="K202" s="85"/>
      <c r="L202" s="85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5"/>
      <c r="J203" s="85"/>
      <c r="K203" s="85"/>
      <c r="L203" s="85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5"/>
      <c r="J204" s="85"/>
      <c r="K204" s="85"/>
      <c r="L204" s="85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5"/>
      <c r="J205" s="85"/>
      <c r="K205" s="85"/>
      <c r="L205" s="85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5"/>
      <c r="J206" s="85"/>
      <c r="K206" s="85"/>
      <c r="L206" s="85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5"/>
      <c r="J207" s="85"/>
      <c r="K207" s="85"/>
      <c r="L207" s="85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5"/>
      <c r="J208" s="85"/>
      <c r="K208" s="85"/>
      <c r="L208" s="85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5"/>
      <c r="J209" s="85"/>
      <c r="K209" s="85"/>
      <c r="L209" s="85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5"/>
      <c r="J210" s="85"/>
      <c r="K210" s="85"/>
      <c r="L210" s="85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5"/>
      <c r="J211" s="85"/>
      <c r="K211" s="85"/>
      <c r="L211" s="85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5"/>
      <c r="J212" s="85"/>
      <c r="K212" s="85"/>
      <c r="L212" s="85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5"/>
      <c r="J213" s="85"/>
      <c r="K213" s="85"/>
      <c r="L213" s="85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5"/>
      <c r="J214" s="85"/>
      <c r="K214" s="85"/>
      <c r="L214" s="85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5"/>
      <c r="J215" s="85"/>
      <c r="K215" s="85"/>
      <c r="L215" s="85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5"/>
      <c r="J216" s="85"/>
      <c r="K216" s="85"/>
      <c r="L216" s="85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5"/>
      <c r="J217" s="85"/>
      <c r="K217" s="85"/>
      <c r="L217" s="85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5"/>
      <c r="J218" s="85"/>
      <c r="K218" s="85"/>
      <c r="L218" s="85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5"/>
      <c r="J219" s="85"/>
      <c r="K219" s="85"/>
      <c r="L219" s="85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5"/>
      <c r="J220" s="85"/>
      <c r="K220" s="85"/>
      <c r="L220" s="85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5"/>
      <c r="J221" s="85"/>
      <c r="K221" s="85"/>
      <c r="L221" s="85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5"/>
      <c r="J222" s="85"/>
      <c r="K222" s="85"/>
      <c r="L222" s="85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5"/>
      <c r="J223" s="85"/>
      <c r="K223" s="85"/>
      <c r="L223" s="85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5"/>
      <c r="J224" s="85"/>
      <c r="K224" s="85"/>
      <c r="L224" s="85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5"/>
      <c r="J225" s="85"/>
      <c r="K225" s="85"/>
      <c r="L225" s="85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5"/>
      <c r="J226" s="85"/>
      <c r="K226" s="85"/>
      <c r="L226" s="85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5"/>
      <c r="J227" s="85"/>
      <c r="K227" s="85"/>
      <c r="L227" s="85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5"/>
      <c r="J228" s="85"/>
      <c r="K228" s="85"/>
      <c r="L228" s="85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5"/>
      <c r="J229" s="85"/>
      <c r="K229" s="85"/>
      <c r="L229" s="85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5"/>
      <c r="J230" s="85"/>
      <c r="K230" s="85"/>
      <c r="L230" s="85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5"/>
      <c r="J231" s="85"/>
      <c r="K231" s="85"/>
      <c r="L231" s="85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5"/>
      <c r="J232" s="85"/>
      <c r="K232" s="85"/>
      <c r="L232" s="85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5"/>
      <c r="J233" s="85"/>
      <c r="K233" s="85"/>
      <c r="L233" s="85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5"/>
      <c r="J234" s="85"/>
      <c r="K234" s="85"/>
      <c r="L234" s="85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5"/>
      <c r="J235" s="85"/>
      <c r="K235" s="85"/>
      <c r="L235" s="85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5"/>
      <c r="J236" s="85"/>
      <c r="K236" s="85"/>
      <c r="L236" s="85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5"/>
      <c r="J237" s="85"/>
      <c r="K237" s="85"/>
      <c r="L237" s="85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5"/>
      <c r="J238" s="85"/>
      <c r="K238" s="85"/>
      <c r="L238" s="85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5"/>
      <c r="J239" s="85"/>
      <c r="K239" s="85"/>
      <c r="L239" s="85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5"/>
      <c r="J240" s="85"/>
      <c r="K240" s="85"/>
      <c r="L240" s="85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5"/>
      <c r="J241" s="85"/>
      <c r="K241" s="85"/>
      <c r="L241" s="85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5"/>
      <c r="J242" s="85"/>
      <c r="K242" s="85"/>
      <c r="L242" s="85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5"/>
      <c r="J243" s="85"/>
      <c r="K243" s="85"/>
      <c r="L243" s="85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5"/>
      <c r="J244" s="85"/>
      <c r="K244" s="85"/>
      <c r="L244" s="85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5"/>
      <c r="J245" s="85"/>
      <c r="K245" s="85"/>
      <c r="L245" s="85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5"/>
      <c r="J246" s="85"/>
      <c r="K246" s="85"/>
      <c r="L246" s="85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5"/>
      <c r="J247" s="85"/>
      <c r="K247" s="85"/>
      <c r="L247" s="85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5"/>
      <c r="J248" s="85"/>
      <c r="K248" s="85"/>
      <c r="L248" s="85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5"/>
      <c r="J249" s="85"/>
      <c r="K249" s="85"/>
      <c r="L249" s="85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5"/>
      <c r="J250" s="85"/>
      <c r="K250" s="85"/>
      <c r="L250" s="85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5"/>
      <c r="J251" s="85"/>
      <c r="K251" s="85"/>
      <c r="L251" s="85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5"/>
      <c r="J252" s="85"/>
      <c r="K252" s="85"/>
      <c r="L252" s="85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5"/>
      <c r="J253" s="85"/>
      <c r="K253" s="85"/>
      <c r="L253" s="85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5"/>
      <c r="J254" s="85"/>
      <c r="K254" s="85"/>
      <c r="L254" s="85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5"/>
      <c r="J255" s="85"/>
      <c r="K255" s="85"/>
      <c r="L255" s="85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5"/>
      <c r="J256" s="85"/>
      <c r="K256" s="85"/>
      <c r="L256" s="85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5"/>
      <c r="J257" s="85"/>
      <c r="K257" s="85"/>
      <c r="L257" s="85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5"/>
      <c r="J258" s="85"/>
      <c r="K258" s="85"/>
      <c r="L258" s="85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5"/>
      <c r="J259" s="85"/>
      <c r="K259" s="85"/>
      <c r="L259" s="85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5"/>
      <c r="J260" s="85"/>
      <c r="K260" s="85"/>
      <c r="L260" s="85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5"/>
      <c r="J261" s="85"/>
      <c r="K261" s="85"/>
      <c r="L261" s="85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5"/>
      <c r="J262" s="85"/>
      <c r="K262" s="85"/>
      <c r="L262" s="85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5"/>
      <c r="J263" s="85"/>
      <c r="K263" s="85"/>
      <c r="L263" s="85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5"/>
      <c r="J264" s="85"/>
      <c r="K264" s="85"/>
      <c r="L264" s="85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5"/>
      <c r="J265" s="85"/>
      <c r="K265" s="85"/>
      <c r="L265" s="85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5"/>
      <c r="J266" s="85"/>
      <c r="K266" s="85"/>
      <c r="L266" s="85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5"/>
      <c r="J267" s="85"/>
      <c r="K267" s="85"/>
      <c r="L267" s="85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5"/>
      <c r="J268" s="85"/>
      <c r="K268" s="85"/>
      <c r="L268" s="85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5"/>
      <c r="J269" s="85"/>
      <c r="K269" s="85"/>
      <c r="L269" s="85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5"/>
      <c r="J270" s="85"/>
      <c r="K270" s="85"/>
      <c r="L270" s="85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5"/>
      <c r="J271" s="85"/>
      <c r="K271" s="85"/>
      <c r="L271" s="85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5"/>
      <c r="J272" s="85"/>
      <c r="K272" s="85"/>
      <c r="L272" s="85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5"/>
      <c r="J273" s="85"/>
      <c r="K273" s="85"/>
      <c r="L273" s="85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5"/>
      <c r="J274" s="85"/>
      <c r="K274" s="85"/>
      <c r="L274" s="85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5"/>
      <c r="J275" s="85"/>
      <c r="K275" s="85"/>
      <c r="L275" s="85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5"/>
      <c r="J276" s="85"/>
      <c r="K276" s="85"/>
      <c r="L276" s="85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5"/>
      <c r="J277" s="85"/>
      <c r="K277" s="85"/>
      <c r="L277" s="85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5"/>
      <c r="J278" s="85"/>
      <c r="K278" s="85"/>
      <c r="L278" s="85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5"/>
      <c r="J279" s="85"/>
      <c r="K279" s="85"/>
      <c r="L279" s="85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5"/>
      <c r="J280" s="85"/>
      <c r="K280" s="85"/>
      <c r="L280" s="85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5"/>
      <c r="J281" s="85"/>
      <c r="K281" s="85"/>
      <c r="L281" s="85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5"/>
      <c r="J282" s="85"/>
      <c r="K282" s="85"/>
      <c r="L282" s="85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5"/>
      <c r="J283" s="85"/>
      <c r="K283" s="85"/>
      <c r="L283" s="85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5"/>
      <c r="J284" s="85"/>
      <c r="K284" s="85"/>
      <c r="L284" s="85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5"/>
      <c r="J285" s="85"/>
      <c r="K285" s="85"/>
      <c r="L285" s="85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5"/>
      <c r="J286" s="85"/>
      <c r="K286" s="85"/>
      <c r="L286" s="85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5"/>
      <c r="J287" s="85"/>
      <c r="K287" s="85"/>
      <c r="L287" s="85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5"/>
      <c r="J288" s="85"/>
      <c r="K288" s="85"/>
      <c r="L288" s="85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5"/>
      <c r="J289" s="85"/>
      <c r="K289" s="85"/>
      <c r="L289" s="85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5"/>
      <c r="J290" s="85"/>
      <c r="K290" s="85"/>
      <c r="L290" s="85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5"/>
      <c r="J291" s="85"/>
      <c r="K291" s="85"/>
      <c r="L291" s="85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5"/>
      <c r="J292" s="85"/>
      <c r="K292" s="85"/>
      <c r="L292" s="85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5"/>
      <c r="J293" s="85"/>
      <c r="K293" s="85"/>
      <c r="L293" s="85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5"/>
      <c r="J294" s="85"/>
      <c r="K294" s="85"/>
      <c r="L294" s="85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5"/>
      <c r="J295" s="85"/>
      <c r="K295" s="85"/>
      <c r="L295" s="85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5"/>
      <c r="J296" s="85"/>
      <c r="K296" s="85"/>
      <c r="L296" s="85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5"/>
      <c r="J297" s="85"/>
      <c r="K297" s="85"/>
      <c r="L297" s="85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5"/>
      <c r="J298" s="85"/>
      <c r="K298" s="85"/>
      <c r="L298" s="85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5"/>
      <c r="J299" s="85"/>
      <c r="K299" s="85"/>
      <c r="L299" s="85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5"/>
      <c r="J300" s="85"/>
      <c r="K300" s="85"/>
      <c r="L300" s="85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5"/>
      <c r="J301" s="85"/>
      <c r="K301" s="85"/>
      <c r="L301" s="85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5"/>
      <c r="J302" s="85"/>
      <c r="K302" s="85"/>
      <c r="L302" s="85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5"/>
      <c r="J303" s="85"/>
      <c r="K303" s="85"/>
      <c r="L303" s="85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5"/>
      <c r="J304" s="85"/>
      <c r="K304" s="85"/>
      <c r="L304" s="85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5"/>
      <c r="J305" s="85"/>
      <c r="K305" s="85"/>
      <c r="L305" s="85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5"/>
      <c r="J306" s="85"/>
      <c r="K306" s="85"/>
      <c r="L306" s="85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5"/>
      <c r="J307" s="85"/>
      <c r="K307" s="85"/>
      <c r="L307" s="85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5"/>
      <c r="J308" s="85"/>
      <c r="K308" s="85"/>
      <c r="L308" s="85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5"/>
      <c r="J309" s="85"/>
      <c r="K309" s="85"/>
      <c r="L309" s="85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5"/>
      <c r="J310" s="85"/>
      <c r="K310" s="85"/>
      <c r="L310" s="85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5"/>
      <c r="J311" s="85"/>
      <c r="K311" s="85"/>
      <c r="L311" s="85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5"/>
      <c r="J312" s="85"/>
      <c r="K312" s="85"/>
      <c r="L312" s="85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5"/>
      <c r="J313" s="85"/>
      <c r="K313" s="85"/>
      <c r="L313" s="85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5"/>
      <c r="J314" s="85"/>
      <c r="K314" s="85"/>
      <c r="L314" s="85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5"/>
      <c r="J315" s="85"/>
      <c r="K315" s="85"/>
      <c r="L315" s="85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5"/>
      <c r="J316" s="85"/>
      <c r="K316" s="85"/>
      <c r="L316" s="85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5"/>
      <c r="J317" s="85"/>
      <c r="K317" s="85"/>
      <c r="L317" s="85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5"/>
      <c r="J318" s="85"/>
      <c r="K318" s="85"/>
      <c r="L318" s="85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5"/>
      <c r="J319" s="85"/>
      <c r="K319" s="85"/>
      <c r="L319" s="85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5"/>
      <c r="J320" s="85"/>
      <c r="K320" s="85"/>
      <c r="L320" s="85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5"/>
      <c r="J321" s="85"/>
      <c r="K321" s="85"/>
      <c r="L321" s="85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5"/>
      <c r="J322" s="85"/>
      <c r="K322" s="85"/>
      <c r="L322" s="85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5"/>
      <c r="J323" s="85"/>
      <c r="K323" s="85"/>
      <c r="L323" s="85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5"/>
      <c r="J324" s="85"/>
      <c r="K324" s="85"/>
      <c r="L324" s="85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5"/>
      <c r="J325" s="85"/>
      <c r="K325" s="85"/>
      <c r="L325" s="85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5"/>
      <c r="J326" s="85"/>
      <c r="K326" s="85"/>
      <c r="L326" s="85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5"/>
      <c r="J327" s="85"/>
      <c r="K327" s="85"/>
      <c r="L327" s="85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5"/>
      <c r="J328" s="85"/>
      <c r="K328" s="85"/>
      <c r="L328" s="85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5"/>
      <c r="J329" s="85"/>
      <c r="K329" s="85"/>
      <c r="L329" s="85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5"/>
      <c r="J330" s="85"/>
      <c r="K330" s="85"/>
      <c r="L330" s="85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5"/>
      <c r="J331" s="85"/>
      <c r="K331" s="85"/>
      <c r="L331" s="85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5"/>
      <c r="J332" s="85"/>
      <c r="K332" s="85"/>
      <c r="L332" s="85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5"/>
      <c r="J333" s="85"/>
      <c r="K333" s="85"/>
      <c r="L333" s="85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5"/>
      <c r="J334" s="85"/>
      <c r="K334" s="85"/>
      <c r="L334" s="85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5"/>
      <c r="J335" s="85"/>
      <c r="K335" s="85"/>
      <c r="L335" s="85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5"/>
      <c r="J336" s="85"/>
      <c r="K336" s="85"/>
      <c r="L336" s="85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5"/>
      <c r="J337" s="85"/>
      <c r="K337" s="85"/>
      <c r="L337" s="85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5"/>
      <c r="J338" s="85"/>
      <c r="K338" s="85"/>
      <c r="L338" s="85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5"/>
      <c r="J339" s="85"/>
      <c r="K339" s="85"/>
      <c r="L339" s="85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5"/>
      <c r="J340" s="85"/>
      <c r="K340" s="85"/>
      <c r="L340" s="85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5"/>
      <c r="J341" s="85"/>
      <c r="K341" s="85"/>
      <c r="L341" s="85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5"/>
      <c r="J342" s="85"/>
      <c r="K342" s="85"/>
      <c r="L342" s="85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5"/>
      <c r="J343" s="85"/>
      <c r="K343" s="85"/>
      <c r="L343" s="85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5"/>
      <c r="J344" s="85"/>
      <c r="K344" s="85"/>
      <c r="L344" s="85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5"/>
      <c r="J345" s="85"/>
      <c r="K345" s="85"/>
      <c r="L345" s="85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5"/>
      <c r="J346" s="85"/>
      <c r="K346" s="85"/>
      <c r="L346" s="85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5"/>
      <c r="J347" s="85"/>
      <c r="K347" s="85"/>
      <c r="L347" s="85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5"/>
      <c r="J348" s="85"/>
      <c r="K348" s="85"/>
      <c r="L348" s="85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5"/>
      <c r="J349" s="85"/>
      <c r="K349" s="85"/>
      <c r="L349" s="85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5"/>
      <c r="J350" s="85"/>
      <c r="K350" s="85"/>
      <c r="L350" s="85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5"/>
      <c r="J351" s="85"/>
      <c r="K351" s="85"/>
      <c r="L351" s="85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5"/>
      <c r="J352" s="85"/>
      <c r="K352" s="85"/>
      <c r="L352" s="85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5"/>
      <c r="J353" s="85"/>
      <c r="K353" s="85"/>
      <c r="L353" s="85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5"/>
      <c r="J354" s="85"/>
      <c r="K354" s="85"/>
      <c r="L354" s="85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5"/>
      <c r="J355" s="85"/>
      <c r="K355" s="85"/>
      <c r="L355" s="85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5"/>
      <c r="J356" s="85"/>
      <c r="K356" s="85"/>
      <c r="L356" s="85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5"/>
      <c r="J357" s="85"/>
      <c r="K357" s="85"/>
      <c r="L357" s="85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5"/>
      <c r="J358" s="85"/>
      <c r="K358" s="85"/>
      <c r="L358" s="85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5"/>
      <c r="J359" s="85"/>
      <c r="K359" s="85"/>
      <c r="L359" s="85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5"/>
      <c r="J360" s="85"/>
      <c r="K360" s="85"/>
      <c r="L360" s="85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5"/>
      <c r="J361" s="85"/>
      <c r="K361" s="85"/>
      <c r="L361" s="85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5"/>
      <c r="J362" s="85"/>
      <c r="K362" s="85"/>
      <c r="L362" s="85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5"/>
      <c r="J363" s="85"/>
      <c r="K363" s="85"/>
      <c r="L363" s="85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5"/>
      <c r="J364" s="85"/>
      <c r="K364" s="85"/>
      <c r="L364" s="85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5"/>
      <c r="J365" s="85"/>
      <c r="K365" s="85"/>
      <c r="L365" s="85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5"/>
      <c r="J366" s="85"/>
      <c r="K366" s="85"/>
      <c r="L366" s="85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5"/>
      <c r="J367" s="85"/>
      <c r="K367" s="85"/>
      <c r="L367" s="85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5"/>
      <c r="J368" s="85"/>
      <c r="K368" s="85"/>
      <c r="L368" s="85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5"/>
      <c r="J369" s="85"/>
      <c r="K369" s="85"/>
      <c r="L369" s="85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5"/>
      <c r="J370" s="85"/>
      <c r="K370" s="85"/>
      <c r="L370" s="85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5"/>
      <c r="J371" s="85"/>
      <c r="K371" s="85"/>
      <c r="L371" s="85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5"/>
      <c r="J372" s="85"/>
      <c r="K372" s="85"/>
      <c r="L372" s="85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5"/>
      <c r="J373" s="85"/>
      <c r="K373" s="85"/>
      <c r="L373" s="85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5"/>
      <c r="J374" s="85"/>
      <c r="K374" s="85"/>
      <c r="L374" s="85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5"/>
      <c r="J375" s="85"/>
      <c r="K375" s="85"/>
      <c r="L375" s="85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5"/>
      <c r="J376" s="85"/>
      <c r="K376" s="85"/>
      <c r="L376" s="85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5"/>
      <c r="J377" s="85"/>
      <c r="K377" s="85"/>
      <c r="L377" s="85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5"/>
      <c r="J378" s="85"/>
      <c r="K378" s="85"/>
      <c r="L378" s="85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5"/>
      <c r="J379" s="85"/>
      <c r="K379" s="85"/>
      <c r="L379" s="85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5"/>
      <c r="J380" s="85"/>
      <c r="K380" s="85"/>
      <c r="L380" s="85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5"/>
      <c r="J381" s="85"/>
      <c r="K381" s="85"/>
      <c r="L381" s="85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5"/>
      <c r="J382" s="85"/>
      <c r="K382" s="85"/>
      <c r="L382" s="85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5"/>
      <c r="J383" s="85"/>
      <c r="K383" s="85"/>
      <c r="L383" s="85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5"/>
      <c r="J384" s="85"/>
      <c r="K384" s="85"/>
      <c r="L384" s="85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5"/>
      <c r="J385" s="85"/>
      <c r="K385" s="85"/>
      <c r="L385" s="85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5"/>
      <c r="J386" s="85"/>
      <c r="K386" s="85"/>
      <c r="L386" s="85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5"/>
      <c r="J387" s="85"/>
      <c r="K387" s="85"/>
      <c r="L387" s="85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5"/>
      <c r="J388" s="85"/>
      <c r="K388" s="85"/>
      <c r="L388" s="85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5"/>
      <c r="J389" s="85"/>
      <c r="K389" s="85"/>
      <c r="L389" s="85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5"/>
      <c r="J390" s="85"/>
      <c r="K390" s="85"/>
      <c r="L390" s="85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5"/>
      <c r="J391" s="85"/>
      <c r="K391" s="85"/>
      <c r="L391" s="85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5"/>
      <c r="J392" s="85"/>
      <c r="K392" s="85"/>
      <c r="L392" s="85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5"/>
      <c r="J393" s="85"/>
      <c r="K393" s="85"/>
      <c r="L393" s="85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5"/>
      <c r="J394" s="85"/>
      <c r="K394" s="85"/>
      <c r="L394" s="85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5"/>
      <c r="J395" s="85"/>
      <c r="K395" s="85"/>
      <c r="L395" s="85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5"/>
      <c r="J396" s="85"/>
      <c r="K396" s="85"/>
      <c r="L396" s="85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5"/>
      <c r="J397" s="85"/>
      <c r="K397" s="85"/>
      <c r="L397" s="85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5"/>
      <c r="J398" s="85"/>
      <c r="K398" s="85"/>
      <c r="L398" s="85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5"/>
      <c r="J399" s="85"/>
      <c r="K399" s="85"/>
      <c r="L399" s="85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5"/>
      <c r="J400" s="85"/>
      <c r="K400" s="85"/>
      <c r="L400" s="85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5"/>
      <c r="J401" s="85"/>
      <c r="K401" s="85"/>
      <c r="L401" s="85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5"/>
      <c r="J402" s="85"/>
      <c r="K402" s="85"/>
      <c r="L402" s="85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5"/>
      <c r="J403" s="85"/>
      <c r="K403" s="85"/>
      <c r="L403" s="85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5"/>
      <c r="J404" s="85"/>
      <c r="K404" s="85"/>
      <c r="L404" s="85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5"/>
      <c r="J405" s="85"/>
      <c r="K405" s="85"/>
      <c r="L405" s="85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5"/>
      <c r="J406" s="85"/>
      <c r="K406" s="85"/>
      <c r="L406" s="85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5"/>
      <c r="J407" s="85"/>
      <c r="K407" s="85"/>
      <c r="L407" s="85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5"/>
      <c r="J408" s="85"/>
      <c r="K408" s="85"/>
      <c r="L408" s="85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5"/>
      <c r="J409" s="85"/>
      <c r="K409" s="85"/>
      <c r="L409" s="85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5"/>
      <c r="J410" s="85"/>
      <c r="K410" s="85"/>
      <c r="L410" s="85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5"/>
      <c r="J411" s="85"/>
      <c r="K411" s="85"/>
      <c r="L411" s="85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5"/>
      <c r="J412" s="85"/>
      <c r="K412" s="85"/>
      <c r="L412" s="85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5"/>
      <c r="J413" s="85"/>
      <c r="K413" s="85"/>
      <c r="L413" s="85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5"/>
      <c r="J414" s="85"/>
      <c r="K414" s="85"/>
      <c r="L414" s="85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5"/>
      <c r="J415" s="85"/>
      <c r="K415" s="85"/>
      <c r="L415" s="85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5"/>
      <c r="J416" s="85"/>
      <c r="K416" s="85"/>
      <c r="L416" s="85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5"/>
      <c r="J417" s="85"/>
      <c r="K417" s="85"/>
      <c r="L417" s="85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5"/>
      <c r="J418" s="85"/>
      <c r="K418" s="85"/>
      <c r="L418" s="85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5"/>
      <c r="J419" s="85"/>
      <c r="K419" s="85"/>
      <c r="L419" s="85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5"/>
      <c r="J420" s="85"/>
      <c r="K420" s="85"/>
      <c r="L420" s="85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5"/>
      <c r="J421" s="85"/>
      <c r="K421" s="85"/>
      <c r="L421" s="85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5"/>
      <c r="J422" s="85"/>
      <c r="K422" s="85"/>
      <c r="L422" s="85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5"/>
      <c r="J423" s="85"/>
      <c r="K423" s="85"/>
      <c r="L423" s="85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5"/>
      <c r="J424" s="85"/>
      <c r="K424" s="85"/>
      <c r="L424" s="85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5"/>
      <c r="J425" s="85"/>
      <c r="K425" s="85"/>
      <c r="L425" s="85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5"/>
      <c r="J426" s="85"/>
      <c r="K426" s="85"/>
      <c r="L426" s="85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5"/>
      <c r="J427" s="85"/>
      <c r="K427" s="85"/>
      <c r="L427" s="85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5"/>
      <c r="J428" s="85"/>
      <c r="K428" s="85"/>
      <c r="L428" s="85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5"/>
      <c r="J429" s="85"/>
      <c r="K429" s="85"/>
      <c r="L429" s="85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5"/>
      <c r="J430" s="85"/>
      <c r="K430" s="85"/>
      <c r="L430" s="85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5"/>
      <c r="J431" s="85"/>
      <c r="K431" s="85"/>
      <c r="L431" s="85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5"/>
      <c r="J432" s="85"/>
      <c r="K432" s="85"/>
      <c r="L432" s="85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5"/>
      <c r="J433" s="85"/>
      <c r="K433" s="85"/>
      <c r="L433" s="85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5"/>
      <c r="J434" s="85"/>
      <c r="K434" s="85"/>
      <c r="L434" s="85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5"/>
      <c r="J435" s="85"/>
      <c r="K435" s="85"/>
      <c r="L435" s="85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5"/>
      <c r="J436" s="85"/>
      <c r="K436" s="85"/>
      <c r="L436" s="85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5"/>
      <c r="J437" s="85"/>
      <c r="K437" s="85"/>
      <c r="L437" s="85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5"/>
      <c r="J438" s="85"/>
      <c r="K438" s="85"/>
      <c r="L438" s="85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5"/>
      <c r="J439" s="85"/>
      <c r="K439" s="85"/>
      <c r="L439" s="85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5"/>
      <c r="J440" s="85"/>
      <c r="K440" s="85"/>
      <c r="L440" s="85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5"/>
      <c r="J441" s="85"/>
      <c r="K441" s="85"/>
      <c r="L441" s="85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5"/>
      <c r="J442" s="85"/>
      <c r="K442" s="85"/>
      <c r="L442" s="85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5"/>
      <c r="J443" s="85"/>
      <c r="K443" s="85"/>
      <c r="L443" s="85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5"/>
      <c r="J444" s="85"/>
      <c r="K444" s="85"/>
      <c r="L444" s="85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5"/>
      <c r="J445" s="85"/>
      <c r="K445" s="85"/>
      <c r="L445" s="85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5"/>
      <c r="J446" s="85"/>
      <c r="K446" s="85"/>
      <c r="L446" s="85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5"/>
      <c r="J447" s="85"/>
      <c r="K447" s="85"/>
      <c r="L447" s="85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5"/>
      <c r="J448" s="85"/>
      <c r="K448" s="85"/>
      <c r="L448" s="85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5"/>
      <c r="J449" s="85"/>
      <c r="K449" s="85"/>
      <c r="L449" s="85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5"/>
      <c r="J450" s="85"/>
      <c r="K450" s="85"/>
      <c r="L450" s="85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5"/>
      <c r="J451" s="85"/>
      <c r="K451" s="85"/>
      <c r="L451" s="85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5"/>
      <c r="J452" s="85"/>
      <c r="K452" s="85"/>
      <c r="L452" s="85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5"/>
      <c r="J453" s="85"/>
      <c r="K453" s="85"/>
      <c r="L453" s="85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5"/>
      <c r="J454" s="85"/>
      <c r="K454" s="85"/>
      <c r="L454" s="85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5"/>
      <c r="J455" s="85"/>
      <c r="K455" s="85"/>
      <c r="L455" s="85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5"/>
      <c r="J456" s="85"/>
      <c r="K456" s="85"/>
      <c r="L456" s="85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5"/>
      <c r="J457" s="85"/>
      <c r="K457" s="85"/>
      <c r="L457" s="85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5"/>
      <c r="J458" s="85"/>
      <c r="K458" s="85"/>
      <c r="L458" s="85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5"/>
      <c r="J459" s="85"/>
      <c r="K459" s="85"/>
      <c r="L459" s="85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5"/>
      <c r="J460" s="85"/>
      <c r="K460" s="85"/>
      <c r="L460" s="85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5"/>
      <c r="J461" s="85"/>
      <c r="K461" s="85"/>
      <c r="L461" s="85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5"/>
      <c r="J462" s="85"/>
      <c r="K462" s="85"/>
      <c r="L462" s="85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5"/>
      <c r="J463" s="85"/>
      <c r="K463" s="85"/>
      <c r="L463" s="85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5"/>
      <c r="J464" s="85"/>
      <c r="K464" s="85"/>
      <c r="L464" s="85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5"/>
      <c r="J465" s="85"/>
      <c r="K465" s="85"/>
      <c r="L465" s="85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5"/>
      <c r="J466" s="85"/>
      <c r="K466" s="85"/>
      <c r="L466" s="85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5"/>
      <c r="J467" s="85"/>
      <c r="K467" s="85"/>
      <c r="L467" s="85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5"/>
      <c r="J468" s="85"/>
      <c r="K468" s="85"/>
      <c r="L468" s="85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5"/>
      <c r="J469" s="85"/>
      <c r="K469" s="85"/>
      <c r="L469" s="85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5"/>
      <c r="J470" s="85"/>
      <c r="K470" s="85"/>
      <c r="L470" s="85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5"/>
      <c r="J471" s="85"/>
      <c r="K471" s="85"/>
      <c r="L471" s="85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5"/>
      <c r="J472" s="85"/>
      <c r="K472" s="85"/>
      <c r="L472" s="85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5"/>
      <c r="J473" s="85"/>
      <c r="K473" s="85"/>
      <c r="L473" s="85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5"/>
      <c r="J474" s="85"/>
      <c r="K474" s="85"/>
      <c r="L474" s="85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5"/>
      <c r="J475" s="85"/>
      <c r="K475" s="85"/>
      <c r="L475" s="85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5"/>
      <c r="J476" s="85"/>
      <c r="K476" s="85"/>
      <c r="L476" s="85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5"/>
      <c r="J477" s="85"/>
      <c r="K477" s="85"/>
      <c r="L477" s="85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5"/>
      <c r="J478" s="85"/>
      <c r="K478" s="85"/>
      <c r="L478" s="85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5"/>
      <c r="J479" s="85"/>
      <c r="K479" s="85"/>
      <c r="L479" s="85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5"/>
      <c r="J480" s="85"/>
      <c r="K480" s="85"/>
      <c r="L480" s="85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5"/>
      <c r="J481" s="85"/>
      <c r="K481" s="85"/>
      <c r="L481" s="85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5"/>
      <c r="J482" s="85"/>
      <c r="K482" s="85"/>
      <c r="L482" s="85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5"/>
      <c r="J483" s="85"/>
      <c r="K483" s="85"/>
      <c r="L483" s="85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5"/>
      <c r="J484" s="85"/>
      <c r="K484" s="85"/>
      <c r="L484" s="85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5"/>
      <c r="J485" s="85"/>
      <c r="K485" s="85"/>
      <c r="L485" s="85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5"/>
      <c r="J486" s="85"/>
      <c r="K486" s="85"/>
      <c r="L486" s="85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5"/>
      <c r="J487" s="85"/>
      <c r="K487" s="85"/>
      <c r="L487" s="85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5"/>
      <c r="J488" s="85"/>
      <c r="K488" s="85"/>
      <c r="L488" s="85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5"/>
      <c r="J489" s="85"/>
      <c r="K489" s="85"/>
      <c r="L489" s="85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5"/>
      <c r="J490" s="85"/>
      <c r="K490" s="85"/>
      <c r="L490" s="85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5"/>
      <c r="J491" s="85"/>
      <c r="K491" s="85"/>
      <c r="L491" s="85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5"/>
      <c r="J492" s="85"/>
      <c r="K492" s="85"/>
      <c r="L492" s="85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5"/>
      <c r="J493" s="85"/>
      <c r="K493" s="85"/>
      <c r="L493" s="85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5"/>
      <c r="J494" s="85"/>
      <c r="K494" s="85"/>
      <c r="L494" s="85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5"/>
      <c r="J495" s="85"/>
      <c r="K495" s="85"/>
      <c r="L495" s="85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5"/>
      <c r="J496" s="85"/>
      <c r="K496" s="85"/>
      <c r="L496" s="85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5"/>
      <c r="J497" s="85"/>
      <c r="K497" s="85"/>
      <c r="L497" s="85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5"/>
      <c r="J498" s="85"/>
      <c r="K498" s="85"/>
      <c r="L498" s="85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5"/>
      <c r="J499" s="85"/>
      <c r="K499" s="85"/>
      <c r="L499" s="85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5"/>
      <c r="J500" s="85"/>
      <c r="K500" s="85"/>
      <c r="L500" s="85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5"/>
      <c r="J501" s="85"/>
      <c r="K501" s="85"/>
      <c r="L501" s="85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5"/>
      <c r="J502" s="85"/>
      <c r="K502" s="85"/>
      <c r="L502" s="85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5"/>
      <c r="J503" s="85"/>
      <c r="K503" s="85"/>
      <c r="L503" s="85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5"/>
      <c r="J504" s="85"/>
      <c r="K504" s="85"/>
      <c r="L504" s="85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5"/>
      <c r="J505" s="85"/>
      <c r="K505" s="85"/>
      <c r="L505" s="85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5"/>
      <c r="J506" s="85"/>
      <c r="K506" s="85"/>
      <c r="L506" s="85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5"/>
      <c r="J507" s="85"/>
      <c r="K507" s="85"/>
      <c r="L507" s="85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5"/>
      <c r="J508" s="85"/>
      <c r="K508" s="85"/>
      <c r="L508" s="85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5"/>
      <c r="J509" s="85"/>
      <c r="K509" s="85"/>
      <c r="L509" s="85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5"/>
      <c r="J510" s="85"/>
      <c r="K510" s="85"/>
      <c r="L510" s="85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5"/>
      <c r="J511" s="85"/>
      <c r="K511" s="85"/>
      <c r="L511" s="85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5"/>
      <c r="J512" s="85"/>
      <c r="K512" s="85"/>
      <c r="L512" s="85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5"/>
      <c r="J513" s="85"/>
      <c r="K513" s="85"/>
      <c r="L513" s="85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5"/>
      <c r="J514" s="85"/>
      <c r="K514" s="85"/>
      <c r="L514" s="85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5"/>
      <c r="J515" s="85"/>
      <c r="K515" s="85"/>
      <c r="L515" s="85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5"/>
      <c r="J516" s="85"/>
      <c r="K516" s="85"/>
      <c r="L516" s="85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5"/>
      <c r="J517" s="85"/>
      <c r="K517" s="85"/>
      <c r="L517" s="85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5"/>
      <c r="J518" s="85"/>
      <c r="K518" s="85"/>
      <c r="L518" s="85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5"/>
      <c r="J519" s="85"/>
      <c r="K519" s="85"/>
      <c r="L519" s="85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5"/>
      <c r="J520" s="85"/>
      <c r="K520" s="85"/>
      <c r="L520" s="85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5"/>
      <c r="J521" s="85"/>
      <c r="K521" s="85"/>
      <c r="L521" s="85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5"/>
      <c r="J522" s="85"/>
      <c r="K522" s="85"/>
      <c r="L522" s="85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5"/>
      <c r="J523" s="85"/>
      <c r="K523" s="85"/>
      <c r="L523" s="85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5"/>
      <c r="J524" s="85"/>
      <c r="K524" s="85"/>
      <c r="L524" s="85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5"/>
      <c r="J525" s="85"/>
      <c r="K525" s="85"/>
      <c r="L525" s="85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5"/>
      <c r="J526" s="85"/>
      <c r="K526" s="85"/>
      <c r="L526" s="85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5"/>
      <c r="J527" s="85"/>
      <c r="K527" s="85"/>
      <c r="L527" s="85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5"/>
      <c r="J528" s="85"/>
      <c r="K528" s="85"/>
      <c r="L528" s="85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5"/>
      <c r="J529" s="85"/>
      <c r="K529" s="85"/>
      <c r="L529" s="85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5"/>
      <c r="J530" s="85"/>
      <c r="K530" s="85"/>
      <c r="L530" s="85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5"/>
      <c r="J531" s="85"/>
      <c r="K531" s="85"/>
      <c r="L531" s="85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5"/>
      <c r="J532" s="85"/>
      <c r="K532" s="85"/>
      <c r="L532" s="85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5"/>
      <c r="J533" s="85"/>
      <c r="K533" s="85"/>
      <c r="L533" s="85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5"/>
      <c r="J534" s="85"/>
      <c r="K534" s="85"/>
      <c r="L534" s="85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5"/>
      <c r="J535" s="85"/>
      <c r="K535" s="85"/>
      <c r="L535" s="85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5"/>
      <c r="J536" s="85"/>
      <c r="K536" s="85"/>
      <c r="L536" s="85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5"/>
      <c r="J537" s="85"/>
      <c r="K537" s="85"/>
      <c r="L537" s="85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5"/>
      <c r="J538" s="85"/>
      <c r="K538" s="85"/>
      <c r="L538" s="85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5"/>
      <c r="J539" s="85"/>
      <c r="K539" s="85"/>
      <c r="L539" s="85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5"/>
      <c r="J540" s="85"/>
      <c r="K540" s="85"/>
      <c r="L540" s="85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5"/>
      <c r="J541" s="85"/>
      <c r="K541" s="85"/>
      <c r="L541" s="85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5"/>
      <c r="J542" s="85"/>
      <c r="K542" s="85"/>
      <c r="L542" s="85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5"/>
      <c r="J543" s="85"/>
      <c r="K543" s="85"/>
      <c r="L543" s="85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5"/>
      <c r="J544" s="85"/>
      <c r="K544" s="85"/>
      <c r="L544" s="85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5"/>
      <c r="J545" s="85"/>
      <c r="K545" s="85"/>
      <c r="L545" s="85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5"/>
      <c r="J546" s="85"/>
      <c r="K546" s="85"/>
      <c r="L546" s="85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5"/>
      <c r="J547" s="85"/>
      <c r="K547" s="85"/>
      <c r="L547" s="85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5"/>
      <c r="J548" s="85"/>
      <c r="K548" s="85"/>
      <c r="L548" s="85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5"/>
      <c r="J549" s="85"/>
      <c r="K549" s="85"/>
      <c r="L549" s="85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5"/>
      <c r="J550" s="85"/>
      <c r="K550" s="85"/>
      <c r="L550" s="85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5"/>
      <c r="J551" s="85"/>
      <c r="K551" s="85"/>
      <c r="L551" s="85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5"/>
      <c r="J552" s="85"/>
      <c r="K552" s="85"/>
      <c r="L552" s="85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5"/>
      <c r="J553" s="85"/>
      <c r="K553" s="85"/>
      <c r="L553" s="85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5"/>
      <c r="J554" s="85"/>
      <c r="K554" s="85"/>
      <c r="L554" s="85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5"/>
      <c r="J555" s="85"/>
      <c r="K555" s="85"/>
      <c r="L555" s="85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5"/>
      <c r="J556" s="85"/>
      <c r="K556" s="85"/>
      <c r="L556" s="85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5"/>
      <c r="J557" s="85"/>
      <c r="K557" s="85"/>
      <c r="L557" s="85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5"/>
      <c r="J558" s="85"/>
      <c r="K558" s="85"/>
      <c r="L558" s="85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5"/>
      <c r="J559" s="85"/>
      <c r="K559" s="85"/>
      <c r="L559" s="85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5"/>
      <c r="J560" s="85"/>
      <c r="K560" s="85"/>
      <c r="L560" s="85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5"/>
      <c r="J561" s="85"/>
      <c r="K561" s="85"/>
      <c r="L561" s="85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5"/>
      <c r="J562" s="85"/>
      <c r="K562" s="85"/>
      <c r="L562" s="85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5"/>
      <c r="J563" s="85"/>
      <c r="K563" s="85"/>
      <c r="L563" s="85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5"/>
      <c r="J564" s="85"/>
      <c r="K564" s="85"/>
      <c r="L564" s="85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5"/>
      <c r="J565" s="85"/>
      <c r="K565" s="85"/>
      <c r="L565" s="85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5"/>
      <c r="J566" s="85"/>
      <c r="K566" s="85"/>
      <c r="L566" s="85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5"/>
      <c r="J567" s="85"/>
      <c r="K567" s="85"/>
      <c r="L567" s="85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5"/>
      <c r="J568" s="85"/>
      <c r="K568" s="85"/>
      <c r="L568" s="85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5"/>
      <c r="J569" s="85"/>
      <c r="K569" s="85"/>
      <c r="L569" s="85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5"/>
      <c r="J570" s="85"/>
      <c r="K570" s="85"/>
      <c r="L570" s="85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5"/>
      <c r="J571" s="85"/>
      <c r="K571" s="85"/>
      <c r="L571" s="85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5"/>
      <c r="J572" s="85"/>
      <c r="K572" s="85"/>
      <c r="L572" s="85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5"/>
      <c r="J573" s="85"/>
      <c r="K573" s="85"/>
      <c r="L573" s="85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5"/>
      <c r="J574" s="85"/>
      <c r="K574" s="85"/>
      <c r="L574" s="85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5"/>
      <c r="J575" s="85"/>
      <c r="K575" s="85"/>
      <c r="L575" s="85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5"/>
      <c r="J576" s="85"/>
      <c r="K576" s="85"/>
      <c r="L576" s="85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5"/>
      <c r="J577" s="85"/>
      <c r="K577" s="85"/>
      <c r="L577" s="85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5"/>
      <c r="J578" s="85"/>
      <c r="K578" s="85"/>
      <c r="L578" s="85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5"/>
      <c r="J579" s="85"/>
      <c r="K579" s="85"/>
      <c r="L579" s="85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5"/>
      <c r="J580" s="85"/>
      <c r="K580" s="85"/>
      <c r="L580" s="85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5"/>
      <c r="J581" s="85"/>
      <c r="K581" s="85"/>
      <c r="L581" s="85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5"/>
      <c r="J582" s="85"/>
      <c r="K582" s="85"/>
      <c r="L582" s="85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5"/>
      <c r="J583" s="85"/>
      <c r="K583" s="85"/>
      <c r="L583" s="85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5"/>
      <c r="J584" s="85"/>
      <c r="K584" s="85"/>
      <c r="L584" s="85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5"/>
      <c r="J585" s="85"/>
      <c r="K585" s="85"/>
      <c r="L585" s="85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5"/>
      <c r="J586" s="85"/>
      <c r="K586" s="85"/>
      <c r="L586" s="85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5"/>
      <c r="J587" s="85"/>
      <c r="K587" s="85"/>
      <c r="L587" s="85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5"/>
      <c r="J588" s="85"/>
      <c r="K588" s="85"/>
      <c r="L588" s="85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5"/>
      <c r="J589" s="85"/>
      <c r="K589" s="85"/>
      <c r="L589" s="85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5"/>
      <c r="J590" s="85"/>
      <c r="K590" s="85"/>
      <c r="L590" s="85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5"/>
      <c r="J591" s="85"/>
      <c r="K591" s="85"/>
      <c r="L591" s="85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5"/>
      <c r="J592" s="85"/>
      <c r="K592" s="85"/>
      <c r="L592" s="85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5"/>
      <c r="J593" s="85"/>
      <c r="K593" s="85"/>
      <c r="L593" s="85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5"/>
      <c r="J594" s="85"/>
      <c r="K594" s="85"/>
      <c r="L594" s="85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5"/>
      <c r="J595" s="85"/>
      <c r="K595" s="85"/>
      <c r="L595" s="85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5"/>
      <c r="J596" s="85"/>
      <c r="K596" s="85"/>
      <c r="L596" s="85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5"/>
      <c r="J597" s="85"/>
      <c r="K597" s="85"/>
      <c r="L597" s="85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5"/>
      <c r="J598" s="85"/>
      <c r="K598" s="85"/>
      <c r="L598" s="85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5"/>
      <c r="J599" s="85"/>
      <c r="K599" s="85"/>
      <c r="L599" s="85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5"/>
      <c r="J600" s="85"/>
      <c r="K600" s="85"/>
      <c r="L600" s="85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5"/>
      <c r="J601" s="85"/>
      <c r="K601" s="85"/>
      <c r="L601" s="85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5"/>
      <c r="J602" s="85"/>
      <c r="K602" s="85"/>
      <c r="L602" s="85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5"/>
      <c r="J603" s="85"/>
      <c r="K603" s="85"/>
      <c r="L603" s="85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5"/>
      <c r="J604" s="85"/>
      <c r="K604" s="85"/>
      <c r="L604" s="85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5"/>
      <c r="J605" s="85"/>
      <c r="K605" s="85"/>
      <c r="L605" s="85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5"/>
      <c r="J606" s="85"/>
      <c r="K606" s="85"/>
      <c r="L606" s="85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5"/>
      <c r="J607" s="85"/>
      <c r="K607" s="85"/>
      <c r="L607" s="85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5"/>
      <c r="J608" s="85"/>
      <c r="K608" s="85"/>
      <c r="L608" s="85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5"/>
      <c r="J609" s="85"/>
      <c r="K609" s="85"/>
      <c r="L609" s="85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5"/>
      <c r="J610" s="85"/>
      <c r="K610" s="85"/>
      <c r="L610" s="85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5"/>
      <c r="J611" s="85"/>
      <c r="K611" s="85"/>
      <c r="L611" s="85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5"/>
      <c r="J612" s="85"/>
      <c r="K612" s="85"/>
      <c r="L612" s="85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5"/>
      <c r="J613" s="85"/>
      <c r="K613" s="85"/>
      <c r="L613" s="85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5"/>
      <c r="J614" s="85"/>
      <c r="K614" s="85"/>
      <c r="L614" s="85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5"/>
      <c r="J615" s="85"/>
      <c r="K615" s="85"/>
      <c r="L615" s="85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5"/>
      <c r="J616" s="85"/>
      <c r="K616" s="85"/>
      <c r="L616" s="85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5"/>
      <c r="J617" s="85"/>
      <c r="K617" s="85"/>
      <c r="L617" s="85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5"/>
      <c r="J618" s="85"/>
      <c r="K618" s="85"/>
      <c r="L618" s="85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5"/>
      <c r="J619" s="85"/>
      <c r="K619" s="85"/>
      <c r="L619" s="85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5"/>
      <c r="J620" s="85"/>
      <c r="K620" s="85"/>
      <c r="L620" s="85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5"/>
      <c r="J621" s="85"/>
      <c r="K621" s="85"/>
      <c r="L621" s="85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5"/>
      <c r="J622" s="85"/>
      <c r="K622" s="85"/>
      <c r="L622" s="85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5"/>
      <c r="J623" s="85"/>
      <c r="K623" s="85"/>
      <c r="L623" s="85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5"/>
      <c r="J624" s="85"/>
      <c r="K624" s="85"/>
      <c r="L624" s="85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5"/>
      <c r="J625" s="85"/>
      <c r="K625" s="85"/>
      <c r="L625" s="85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5"/>
      <c r="J626" s="85"/>
      <c r="K626" s="85"/>
      <c r="L626" s="85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5"/>
      <c r="J627" s="85"/>
      <c r="K627" s="85"/>
      <c r="L627" s="85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5"/>
      <c r="J628" s="85"/>
      <c r="K628" s="85"/>
      <c r="L628" s="85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5"/>
      <c r="J629" s="85"/>
      <c r="K629" s="85"/>
      <c r="L629" s="85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5"/>
      <c r="J630" s="85"/>
      <c r="K630" s="85"/>
      <c r="L630" s="85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5"/>
      <c r="J631" s="85"/>
      <c r="K631" s="85"/>
      <c r="L631" s="85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5"/>
      <c r="J632" s="85"/>
      <c r="K632" s="85"/>
      <c r="L632" s="85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5"/>
      <c r="J633" s="85"/>
      <c r="K633" s="85"/>
      <c r="L633" s="85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5"/>
      <c r="J634" s="85"/>
      <c r="K634" s="85"/>
      <c r="L634" s="85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5"/>
      <c r="J635" s="85"/>
      <c r="K635" s="85"/>
      <c r="L635" s="85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5"/>
      <c r="J636" s="85"/>
      <c r="K636" s="85"/>
      <c r="L636" s="85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5"/>
      <c r="J637" s="85"/>
      <c r="K637" s="85"/>
      <c r="L637" s="85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5"/>
      <c r="J638" s="85"/>
      <c r="K638" s="85"/>
      <c r="L638" s="85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5"/>
      <c r="J639" s="85"/>
      <c r="K639" s="85"/>
      <c r="L639" s="85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5"/>
      <c r="J640" s="85"/>
      <c r="K640" s="85"/>
      <c r="L640" s="85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5"/>
      <c r="J641" s="85"/>
      <c r="K641" s="85"/>
      <c r="L641" s="85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5"/>
      <c r="J642" s="85"/>
      <c r="K642" s="85"/>
      <c r="L642" s="85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5"/>
      <c r="J643" s="85"/>
      <c r="K643" s="85"/>
      <c r="L643" s="85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5"/>
      <c r="J644" s="85"/>
      <c r="K644" s="85"/>
      <c r="L644" s="85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5"/>
      <c r="J645" s="85"/>
      <c r="K645" s="85"/>
      <c r="L645" s="85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5"/>
      <c r="J646" s="85"/>
      <c r="K646" s="85"/>
      <c r="L646" s="85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5"/>
      <c r="J647" s="85"/>
      <c r="K647" s="85"/>
      <c r="L647" s="85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5"/>
      <c r="J648" s="85"/>
      <c r="K648" s="85"/>
      <c r="L648" s="85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5"/>
      <c r="J649" s="85"/>
      <c r="K649" s="85"/>
      <c r="L649" s="85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5"/>
      <c r="J650" s="85"/>
      <c r="K650" s="85"/>
      <c r="L650" s="85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5"/>
      <c r="J651" s="85"/>
      <c r="K651" s="85"/>
      <c r="L651" s="85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5"/>
      <c r="J652" s="85"/>
      <c r="K652" s="85"/>
      <c r="L652" s="85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5"/>
      <c r="J653" s="85"/>
      <c r="K653" s="85"/>
      <c r="L653" s="85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5"/>
      <c r="J654" s="85"/>
      <c r="K654" s="85"/>
      <c r="L654" s="85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5"/>
      <c r="J655" s="85"/>
      <c r="K655" s="85"/>
      <c r="L655" s="85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5"/>
      <c r="J656" s="85"/>
      <c r="K656" s="85"/>
      <c r="L656" s="85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5"/>
      <c r="J657" s="85"/>
      <c r="K657" s="85"/>
      <c r="L657" s="85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5"/>
      <c r="J658" s="85"/>
      <c r="K658" s="85"/>
      <c r="L658" s="85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5"/>
      <c r="J659" s="85"/>
      <c r="K659" s="85"/>
      <c r="L659" s="85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5"/>
      <c r="J660" s="85"/>
      <c r="K660" s="85"/>
      <c r="L660" s="85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5"/>
      <c r="J661" s="85"/>
      <c r="K661" s="85"/>
      <c r="L661" s="85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5"/>
      <c r="J662" s="85"/>
      <c r="K662" s="85"/>
      <c r="L662" s="85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5"/>
      <c r="J663" s="85"/>
      <c r="K663" s="85"/>
      <c r="L663" s="85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5"/>
      <c r="J664" s="85"/>
      <c r="K664" s="85"/>
      <c r="L664" s="85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5"/>
      <c r="J665" s="85"/>
      <c r="K665" s="85"/>
      <c r="L665" s="85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5"/>
      <c r="J666" s="85"/>
      <c r="K666" s="85"/>
      <c r="L666" s="85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5"/>
      <c r="J667" s="85"/>
      <c r="K667" s="85"/>
      <c r="L667" s="85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5"/>
      <c r="J668" s="85"/>
      <c r="K668" s="85"/>
      <c r="L668" s="85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5"/>
      <c r="J669" s="85"/>
      <c r="K669" s="85"/>
      <c r="L669" s="85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5"/>
      <c r="J670" s="85"/>
      <c r="K670" s="85"/>
      <c r="L670" s="85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5"/>
      <c r="J671" s="85"/>
      <c r="K671" s="85"/>
      <c r="L671" s="85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5"/>
      <c r="J672" s="85"/>
      <c r="K672" s="85"/>
      <c r="L672" s="85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5"/>
      <c r="J673" s="85"/>
      <c r="K673" s="85"/>
      <c r="L673" s="85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5"/>
      <c r="J674" s="85"/>
      <c r="K674" s="85"/>
      <c r="L674" s="85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5"/>
      <c r="J675" s="85"/>
      <c r="K675" s="85"/>
      <c r="L675" s="85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5"/>
      <c r="J676" s="85"/>
      <c r="K676" s="85"/>
      <c r="L676" s="85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5"/>
      <c r="J677" s="85"/>
      <c r="K677" s="85"/>
      <c r="L677" s="85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5"/>
      <c r="J678" s="85"/>
      <c r="K678" s="85"/>
      <c r="L678" s="85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5"/>
      <c r="J679" s="85"/>
      <c r="K679" s="85"/>
      <c r="L679" s="85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5"/>
      <c r="J680" s="85"/>
      <c r="K680" s="85"/>
      <c r="L680" s="85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5"/>
      <c r="J681" s="85"/>
      <c r="K681" s="85"/>
      <c r="L681" s="85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5"/>
      <c r="J682" s="85"/>
      <c r="K682" s="85"/>
      <c r="L682" s="85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5"/>
      <c r="J683" s="85"/>
      <c r="K683" s="85"/>
      <c r="L683" s="85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5"/>
      <c r="J684" s="85"/>
      <c r="K684" s="85"/>
      <c r="L684" s="85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5"/>
      <c r="J685" s="85"/>
      <c r="K685" s="85"/>
      <c r="L685" s="85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5"/>
      <c r="J686" s="85"/>
      <c r="K686" s="85"/>
      <c r="L686" s="85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5"/>
      <c r="J687" s="85"/>
      <c r="K687" s="85"/>
      <c r="L687" s="85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5"/>
      <c r="J688" s="85"/>
      <c r="K688" s="85"/>
      <c r="L688" s="85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5"/>
      <c r="J689" s="85"/>
      <c r="K689" s="85"/>
      <c r="L689" s="85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5"/>
      <c r="J690" s="85"/>
      <c r="K690" s="85"/>
      <c r="L690" s="85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5"/>
      <c r="J691" s="85"/>
      <c r="K691" s="85"/>
      <c r="L691" s="85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5"/>
      <c r="J692" s="85"/>
      <c r="K692" s="85"/>
      <c r="L692" s="85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5"/>
      <c r="J693" s="85"/>
      <c r="K693" s="85"/>
      <c r="L693" s="85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5"/>
      <c r="J694" s="85"/>
      <c r="K694" s="85"/>
      <c r="L694" s="85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5"/>
      <c r="J695" s="85"/>
      <c r="K695" s="85"/>
      <c r="L695" s="85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5"/>
      <c r="J696" s="85"/>
      <c r="K696" s="85"/>
      <c r="L696" s="85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5"/>
      <c r="J697" s="85"/>
      <c r="K697" s="85"/>
      <c r="L697" s="85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5"/>
      <c r="J698" s="85"/>
      <c r="K698" s="85"/>
      <c r="L698" s="85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5"/>
      <c r="J699" s="85"/>
      <c r="K699" s="85"/>
      <c r="L699" s="85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5"/>
      <c r="J700" s="85"/>
      <c r="K700" s="85"/>
      <c r="L700" s="85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5"/>
      <c r="J701" s="85"/>
      <c r="K701" s="85"/>
      <c r="L701" s="85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5"/>
      <c r="J702" s="85"/>
      <c r="K702" s="85"/>
      <c r="L702" s="85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5"/>
      <c r="J703" s="85"/>
      <c r="K703" s="85"/>
      <c r="L703" s="85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5"/>
      <c r="J704" s="85"/>
      <c r="K704" s="85"/>
      <c r="L704" s="85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5"/>
      <c r="J705" s="85"/>
      <c r="K705" s="85"/>
      <c r="L705" s="85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5"/>
      <c r="J706" s="85"/>
      <c r="K706" s="85"/>
      <c r="L706" s="85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5"/>
      <c r="J707" s="85"/>
      <c r="K707" s="85"/>
      <c r="L707" s="85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5"/>
      <c r="J708" s="85"/>
      <c r="K708" s="85"/>
      <c r="L708" s="85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5"/>
      <c r="J709" s="85"/>
      <c r="K709" s="85"/>
      <c r="L709" s="85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5"/>
      <c r="J710" s="85"/>
      <c r="K710" s="85"/>
      <c r="L710" s="85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5"/>
      <c r="J711" s="85"/>
      <c r="K711" s="85"/>
      <c r="L711" s="85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5"/>
      <c r="J712" s="85"/>
      <c r="K712" s="85"/>
      <c r="L712" s="85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5"/>
      <c r="J713" s="85"/>
      <c r="K713" s="85"/>
      <c r="L713" s="85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5"/>
      <c r="J714" s="85"/>
      <c r="K714" s="85"/>
      <c r="L714" s="85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5"/>
      <c r="J715" s="85"/>
      <c r="K715" s="85"/>
      <c r="L715" s="85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5"/>
      <c r="J716" s="85"/>
      <c r="K716" s="85"/>
      <c r="L716" s="85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5"/>
      <c r="J717" s="85"/>
      <c r="K717" s="85"/>
      <c r="L717" s="85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5"/>
      <c r="J718" s="85"/>
      <c r="K718" s="85"/>
      <c r="L718" s="85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5"/>
      <c r="J719" s="85"/>
      <c r="K719" s="85"/>
      <c r="L719" s="85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5"/>
      <c r="J720" s="85"/>
      <c r="K720" s="85"/>
      <c r="L720" s="85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5"/>
      <c r="J721" s="85"/>
      <c r="K721" s="85"/>
      <c r="L721" s="85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5"/>
      <c r="J722" s="85"/>
      <c r="K722" s="85"/>
      <c r="L722" s="85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5"/>
      <c r="J723" s="85"/>
      <c r="K723" s="85"/>
      <c r="L723" s="85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5"/>
      <c r="J724" s="85"/>
      <c r="K724" s="85"/>
      <c r="L724" s="85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5"/>
      <c r="J725" s="85"/>
      <c r="K725" s="85"/>
      <c r="L725" s="85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5"/>
      <c r="J726" s="85"/>
      <c r="K726" s="85"/>
      <c r="L726" s="85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5"/>
      <c r="J727" s="85"/>
      <c r="K727" s="85"/>
      <c r="L727" s="85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5"/>
      <c r="J728" s="85"/>
      <c r="K728" s="85"/>
      <c r="L728" s="85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5"/>
      <c r="J729" s="85"/>
      <c r="K729" s="85"/>
      <c r="L729" s="85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5"/>
      <c r="J730" s="85"/>
      <c r="K730" s="85"/>
      <c r="L730" s="85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5"/>
      <c r="J731" s="85"/>
      <c r="K731" s="85"/>
      <c r="L731" s="85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5"/>
      <c r="J732" s="85"/>
      <c r="K732" s="85"/>
      <c r="L732" s="85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5"/>
      <c r="J733" s="85"/>
      <c r="K733" s="85"/>
      <c r="L733" s="85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5"/>
      <c r="J734" s="85"/>
      <c r="K734" s="85"/>
      <c r="L734" s="85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5"/>
      <c r="J735" s="85"/>
      <c r="K735" s="85"/>
      <c r="L735" s="85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5"/>
      <c r="J736" s="85"/>
      <c r="K736" s="85"/>
      <c r="L736" s="85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5"/>
      <c r="J737" s="85"/>
      <c r="K737" s="85"/>
      <c r="L737" s="85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5"/>
      <c r="J738" s="85"/>
      <c r="K738" s="85"/>
      <c r="L738" s="85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5"/>
      <c r="J739" s="85"/>
      <c r="K739" s="85"/>
      <c r="L739" s="85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5"/>
      <c r="J740" s="85"/>
      <c r="K740" s="85"/>
      <c r="L740" s="85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5"/>
      <c r="J741" s="85"/>
      <c r="K741" s="85"/>
      <c r="L741" s="85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5"/>
      <c r="J742" s="85"/>
      <c r="K742" s="85"/>
      <c r="L742" s="85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5"/>
      <c r="J743" s="85"/>
      <c r="K743" s="85"/>
      <c r="L743" s="85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5"/>
      <c r="J744" s="85"/>
      <c r="K744" s="85"/>
      <c r="L744" s="85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5"/>
      <c r="J745" s="85"/>
      <c r="K745" s="85"/>
      <c r="L745" s="85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5"/>
      <c r="J746" s="85"/>
      <c r="K746" s="85"/>
      <c r="L746" s="85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5"/>
      <c r="J747" s="85"/>
      <c r="K747" s="85"/>
      <c r="L747" s="85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5"/>
      <c r="J748" s="85"/>
      <c r="K748" s="85"/>
      <c r="L748" s="85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5"/>
      <c r="J749" s="85"/>
      <c r="K749" s="85"/>
      <c r="L749" s="85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5"/>
      <c r="J750" s="85"/>
      <c r="K750" s="85"/>
      <c r="L750" s="85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5"/>
      <c r="J751" s="85"/>
      <c r="K751" s="85"/>
      <c r="L751" s="85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5"/>
      <c r="J752" s="85"/>
      <c r="K752" s="85"/>
      <c r="L752" s="85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5"/>
      <c r="J753" s="85"/>
      <c r="K753" s="85"/>
      <c r="L753" s="85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5"/>
      <c r="J754" s="85"/>
      <c r="K754" s="85"/>
      <c r="L754" s="85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5"/>
      <c r="J755" s="85"/>
      <c r="K755" s="85"/>
      <c r="L755" s="85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5"/>
      <c r="J756" s="85"/>
      <c r="K756" s="85"/>
      <c r="L756" s="85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5"/>
      <c r="J757" s="85"/>
      <c r="K757" s="85"/>
      <c r="L757" s="85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5"/>
      <c r="J758" s="85"/>
      <c r="K758" s="85"/>
      <c r="L758" s="85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5"/>
      <c r="J759" s="85"/>
      <c r="K759" s="85"/>
      <c r="L759" s="85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5"/>
      <c r="J760" s="85"/>
      <c r="K760" s="85"/>
      <c r="L760" s="85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5"/>
      <c r="J761" s="85"/>
      <c r="K761" s="85"/>
      <c r="L761" s="85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5"/>
      <c r="J762" s="85"/>
      <c r="K762" s="85"/>
      <c r="L762" s="85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5"/>
      <c r="J763" s="85"/>
      <c r="K763" s="85"/>
      <c r="L763" s="85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5"/>
      <c r="J764" s="85"/>
      <c r="K764" s="85"/>
      <c r="L764" s="85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5"/>
      <c r="J765" s="85"/>
      <c r="K765" s="85"/>
      <c r="L765" s="85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5"/>
      <c r="J766" s="85"/>
      <c r="K766" s="85"/>
      <c r="L766" s="85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5"/>
      <c r="J767" s="85"/>
      <c r="K767" s="85"/>
      <c r="L767" s="85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5"/>
      <c r="J768" s="85"/>
      <c r="K768" s="85"/>
      <c r="L768" s="85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5"/>
      <c r="J769" s="85"/>
      <c r="K769" s="85"/>
      <c r="L769" s="85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5"/>
      <c r="J770" s="85"/>
      <c r="K770" s="85"/>
      <c r="L770" s="85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5"/>
      <c r="J771" s="85"/>
      <c r="K771" s="85"/>
      <c r="L771" s="85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5"/>
      <c r="J772" s="85"/>
      <c r="K772" s="85"/>
      <c r="L772" s="85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5"/>
      <c r="J773" s="85"/>
      <c r="K773" s="85"/>
      <c r="L773" s="85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5"/>
      <c r="J774" s="85"/>
      <c r="K774" s="85"/>
      <c r="L774" s="85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5"/>
      <c r="J775" s="85"/>
      <c r="K775" s="85"/>
      <c r="L775" s="85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5"/>
      <c r="J776" s="85"/>
      <c r="K776" s="85"/>
      <c r="L776" s="85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5"/>
      <c r="J777" s="85"/>
      <c r="K777" s="85"/>
      <c r="L777" s="85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5"/>
      <c r="J778" s="85"/>
      <c r="K778" s="85"/>
      <c r="L778" s="85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5"/>
      <c r="J779" s="85"/>
      <c r="K779" s="85"/>
      <c r="L779" s="85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5"/>
      <c r="J780" s="85"/>
      <c r="K780" s="85"/>
      <c r="L780" s="85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5"/>
      <c r="J781" s="85"/>
      <c r="K781" s="85"/>
      <c r="L781" s="85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5"/>
      <c r="J782" s="85"/>
      <c r="K782" s="85"/>
      <c r="L782" s="85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5"/>
      <c r="J783" s="85"/>
      <c r="K783" s="85"/>
      <c r="L783" s="85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5"/>
      <c r="J784" s="85"/>
      <c r="K784" s="85"/>
      <c r="L784" s="85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5"/>
      <c r="J785" s="85"/>
      <c r="K785" s="85"/>
      <c r="L785" s="85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5"/>
      <c r="J786" s="85"/>
      <c r="K786" s="85"/>
      <c r="L786" s="85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5"/>
      <c r="J787" s="85"/>
      <c r="K787" s="85"/>
      <c r="L787" s="85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5"/>
      <c r="J788" s="85"/>
      <c r="K788" s="85"/>
      <c r="L788" s="85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5"/>
      <c r="J789" s="85"/>
      <c r="K789" s="85"/>
      <c r="L789" s="85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5"/>
      <c r="J790" s="85"/>
      <c r="K790" s="85"/>
      <c r="L790" s="85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5"/>
      <c r="J791" s="85"/>
      <c r="K791" s="85"/>
      <c r="L791" s="85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5"/>
      <c r="J792" s="85"/>
      <c r="K792" s="85"/>
      <c r="L792" s="85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5"/>
      <c r="J793" s="85"/>
      <c r="K793" s="85"/>
      <c r="L793" s="85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5"/>
      <c r="J794" s="85"/>
      <c r="K794" s="85"/>
      <c r="L794" s="85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5"/>
      <c r="J795" s="85"/>
      <c r="K795" s="85"/>
      <c r="L795" s="85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5"/>
      <c r="J796" s="85"/>
      <c r="K796" s="85"/>
      <c r="L796" s="85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5"/>
      <c r="J797" s="85"/>
      <c r="K797" s="85"/>
      <c r="L797" s="85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5"/>
      <c r="J798" s="85"/>
      <c r="K798" s="85"/>
      <c r="L798" s="85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5"/>
      <c r="J799" s="85"/>
      <c r="K799" s="85"/>
      <c r="L799" s="85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5"/>
      <c r="J800" s="85"/>
      <c r="K800" s="85"/>
      <c r="L800" s="85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5"/>
      <c r="J801" s="85"/>
      <c r="K801" s="85"/>
      <c r="L801" s="85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5"/>
      <c r="J802" s="85"/>
      <c r="K802" s="85"/>
      <c r="L802" s="85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5"/>
      <c r="J803" s="85"/>
      <c r="K803" s="85"/>
      <c r="L803" s="85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5"/>
      <c r="J804" s="85"/>
      <c r="K804" s="85"/>
      <c r="L804" s="85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5"/>
      <c r="J805" s="85"/>
      <c r="K805" s="85"/>
      <c r="L805" s="85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5"/>
      <c r="J806" s="85"/>
      <c r="K806" s="85"/>
      <c r="L806" s="85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5"/>
      <c r="J807" s="85"/>
      <c r="K807" s="85"/>
      <c r="L807" s="85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5"/>
      <c r="J808" s="85"/>
      <c r="K808" s="85"/>
      <c r="L808" s="85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5"/>
      <c r="J809" s="85"/>
      <c r="K809" s="85"/>
      <c r="L809" s="85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5"/>
      <c r="J810" s="85"/>
      <c r="K810" s="85"/>
      <c r="L810" s="85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5"/>
      <c r="J811" s="85"/>
      <c r="K811" s="85"/>
      <c r="L811" s="85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5"/>
      <c r="J812" s="85"/>
      <c r="K812" s="85"/>
      <c r="L812" s="85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5"/>
      <c r="J813" s="85"/>
      <c r="K813" s="85"/>
      <c r="L813" s="85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5"/>
      <c r="J814" s="85"/>
      <c r="K814" s="85"/>
      <c r="L814" s="85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5"/>
      <c r="J815" s="85"/>
      <c r="K815" s="85"/>
      <c r="L815" s="85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5"/>
      <c r="J816" s="85"/>
      <c r="K816" s="85"/>
      <c r="L816" s="85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5"/>
      <c r="J817" s="85"/>
      <c r="K817" s="85"/>
      <c r="L817" s="85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5"/>
      <c r="J818" s="85"/>
      <c r="K818" s="85"/>
      <c r="L818" s="85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5"/>
      <c r="J819" s="85"/>
      <c r="K819" s="85"/>
      <c r="L819" s="85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5"/>
      <c r="J820" s="85"/>
      <c r="K820" s="85"/>
      <c r="L820" s="85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5"/>
      <c r="J821" s="85"/>
      <c r="K821" s="85"/>
      <c r="L821" s="85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5"/>
      <c r="J822" s="85"/>
      <c r="K822" s="85"/>
      <c r="L822" s="85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5"/>
      <c r="J823" s="85"/>
      <c r="K823" s="85"/>
      <c r="L823" s="85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5"/>
      <c r="J824" s="85"/>
      <c r="K824" s="85"/>
      <c r="L824" s="85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5"/>
      <c r="J825" s="85"/>
      <c r="K825" s="85"/>
      <c r="L825" s="85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5"/>
      <c r="J826" s="85"/>
      <c r="K826" s="85"/>
      <c r="L826" s="85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5"/>
      <c r="J827" s="85"/>
      <c r="K827" s="85"/>
      <c r="L827" s="85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5"/>
      <c r="J828" s="85"/>
      <c r="K828" s="85"/>
      <c r="L828" s="85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5"/>
      <c r="J829" s="85"/>
      <c r="K829" s="85"/>
      <c r="L829" s="85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5"/>
      <c r="J830" s="85"/>
      <c r="K830" s="85"/>
      <c r="L830" s="85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5"/>
      <c r="J831" s="85"/>
      <c r="K831" s="85"/>
      <c r="L831" s="85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5"/>
      <c r="J832" s="85"/>
      <c r="K832" s="85"/>
      <c r="L832" s="85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5"/>
      <c r="J833" s="85"/>
      <c r="K833" s="85"/>
      <c r="L833" s="85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5"/>
      <c r="J834" s="85"/>
      <c r="K834" s="85"/>
      <c r="L834" s="85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5"/>
      <c r="J835" s="85"/>
      <c r="K835" s="85"/>
      <c r="L835" s="85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5"/>
      <c r="J836" s="85"/>
      <c r="K836" s="85"/>
      <c r="L836" s="85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5"/>
      <c r="J837" s="85"/>
      <c r="K837" s="85"/>
      <c r="L837" s="85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5"/>
      <c r="J838" s="85"/>
      <c r="K838" s="85"/>
      <c r="L838" s="85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5"/>
      <c r="J839" s="85"/>
      <c r="K839" s="85"/>
      <c r="L839" s="85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5"/>
      <c r="J840" s="85"/>
      <c r="K840" s="85"/>
      <c r="L840" s="85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5"/>
      <c r="J841" s="85"/>
      <c r="K841" s="85"/>
      <c r="L841" s="85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5"/>
      <c r="J842" s="85"/>
      <c r="K842" s="85"/>
      <c r="L842" s="85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5"/>
      <c r="J843" s="85"/>
      <c r="K843" s="85"/>
      <c r="L843" s="85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5"/>
      <c r="J844" s="85"/>
      <c r="K844" s="85"/>
      <c r="L844" s="85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5"/>
      <c r="J845" s="85"/>
      <c r="K845" s="85"/>
      <c r="L845" s="85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5"/>
      <c r="J846" s="85"/>
      <c r="K846" s="85"/>
      <c r="L846" s="85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5"/>
      <c r="J847" s="85"/>
      <c r="K847" s="85"/>
      <c r="L847" s="85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5"/>
      <c r="J848" s="85"/>
      <c r="K848" s="85"/>
      <c r="L848" s="85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5"/>
      <c r="J849" s="85"/>
      <c r="K849" s="85"/>
      <c r="L849" s="85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5"/>
      <c r="J850" s="85"/>
      <c r="K850" s="85"/>
      <c r="L850" s="85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5"/>
      <c r="J851" s="85"/>
      <c r="K851" s="85"/>
      <c r="L851" s="85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5"/>
      <c r="J852" s="85"/>
      <c r="K852" s="85"/>
      <c r="L852" s="85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5"/>
      <c r="J853" s="85"/>
      <c r="K853" s="85"/>
      <c r="L853" s="85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5"/>
      <c r="J854" s="85"/>
      <c r="K854" s="85"/>
      <c r="L854" s="85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5"/>
      <c r="J855" s="85"/>
      <c r="K855" s="85"/>
      <c r="L855" s="85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5"/>
      <c r="J856" s="85"/>
      <c r="K856" s="85"/>
      <c r="L856" s="85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5"/>
      <c r="J857" s="85"/>
      <c r="K857" s="85"/>
      <c r="L857" s="85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5"/>
      <c r="J858" s="85"/>
      <c r="K858" s="85"/>
      <c r="L858" s="85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5"/>
      <c r="J859" s="85"/>
      <c r="K859" s="85"/>
      <c r="L859" s="85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5"/>
      <c r="J860" s="85"/>
      <c r="K860" s="85"/>
      <c r="L860" s="85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5"/>
      <c r="J861" s="85"/>
      <c r="K861" s="85"/>
      <c r="L861" s="85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5"/>
      <c r="J862" s="85"/>
      <c r="K862" s="85"/>
      <c r="L862" s="85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5"/>
      <c r="J863" s="85"/>
      <c r="K863" s="85"/>
      <c r="L863" s="85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5"/>
      <c r="J864" s="85"/>
      <c r="K864" s="85"/>
      <c r="L864" s="85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5"/>
      <c r="J865" s="85"/>
      <c r="K865" s="85"/>
      <c r="L865" s="85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5"/>
      <c r="J866" s="85"/>
      <c r="K866" s="85"/>
      <c r="L866" s="85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5"/>
      <c r="J867" s="85"/>
      <c r="K867" s="85"/>
      <c r="L867" s="85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5"/>
      <c r="J868" s="85"/>
      <c r="K868" s="85"/>
      <c r="L868" s="85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5"/>
      <c r="J869" s="85"/>
      <c r="K869" s="85"/>
      <c r="L869" s="85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5"/>
      <c r="J870" s="85"/>
      <c r="K870" s="85"/>
      <c r="L870" s="85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5"/>
      <c r="J871" s="85"/>
      <c r="K871" s="85"/>
      <c r="L871" s="85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5"/>
      <c r="J872" s="85"/>
      <c r="K872" s="85"/>
      <c r="L872" s="85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5"/>
      <c r="J873" s="85"/>
      <c r="K873" s="85"/>
      <c r="L873" s="85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5"/>
      <c r="J874" s="85"/>
      <c r="K874" s="85"/>
      <c r="L874" s="85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5"/>
      <c r="J875" s="85"/>
      <c r="K875" s="85"/>
      <c r="L875" s="85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5"/>
      <c r="J876" s="85"/>
      <c r="K876" s="85"/>
      <c r="L876" s="85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5"/>
      <c r="J877" s="85"/>
      <c r="K877" s="85"/>
      <c r="L877" s="85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5"/>
      <c r="J878" s="85"/>
      <c r="K878" s="85"/>
      <c r="L878" s="85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5"/>
      <c r="J879" s="85"/>
      <c r="K879" s="85"/>
      <c r="L879" s="85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5"/>
      <c r="J880" s="85"/>
      <c r="K880" s="85"/>
      <c r="L880" s="85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5"/>
      <c r="J881" s="85"/>
      <c r="K881" s="85"/>
      <c r="L881" s="85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5"/>
      <c r="J882" s="85"/>
      <c r="K882" s="85"/>
      <c r="L882" s="85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5"/>
      <c r="J883" s="85"/>
      <c r="K883" s="85"/>
      <c r="L883" s="85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5"/>
      <c r="J884" s="85"/>
      <c r="K884" s="85"/>
      <c r="L884" s="85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5"/>
      <c r="J885" s="85"/>
      <c r="K885" s="85"/>
      <c r="L885" s="85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5"/>
      <c r="J886" s="85"/>
      <c r="K886" s="85"/>
      <c r="L886" s="85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5"/>
      <c r="J887" s="85"/>
      <c r="K887" s="85"/>
      <c r="L887" s="85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5"/>
      <c r="J888" s="85"/>
      <c r="K888" s="85"/>
      <c r="L888" s="85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5"/>
      <c r="J889" s="85"/>
      <c r="K889" s="85"/>
      <c r="L889" s="85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5"/>
      <c r="J890" s="85"/>
      <c r="K890" s="85"/>
      <c r="L890" s="85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5"/>
      <c r="J891" s="85"/>
      <c r="K891" s="85"/>
      <c r="L891" s="85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5"/>
      <c r="J892" s="85"/>
      <c r="K892" s="85"/>
      <c r="L892" s="85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5"/>
      <c r="J893" s="85"/>
      <c r="K893" s="85"/>
      <c r="L893" s="85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5"/>
      <c r="J894" s="85"/>
      <c r="K894" s="85"/>
      <c r="L894" s="85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5"/>
      <c r="J895" s="85"/>
      <c r="K895" s="85"/>
      <c r="L895" s="85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5"/>
      <c r="J896" s="85"/>
      <c r="K896" s="85"/>
      <c r="L896" s="85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5"/>
      <c r="J897" s="85"/>
      <c r="K897" s="85"/>
      <c r="L897" s="85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5"/>
      <c r="J898" s="85"/>
      <c r="K898" s="85"/>
      <c r="L898" s="85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5"/>
      <c r="J899" s="85"/>
      <c r="K899" s="85"/>
      <c r="L899" s="85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5"/>
      <c r="J900" s="85"/>
      <c r="K900" s="85"/>
      <c r="L900" s="85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5"/>
      <c r="J901" s="85"/>
      <c r="K901" s="85"/>
      <c r="L901" s="85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5"/>
      <c r="J902" s="85"/>
      <c r="K902" s="85"/>
      <c r="L902" s="85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5"/>
      <c r="J903" s="85"/>
      <c r="K903" s="85"/>
      <c r="L903" s="85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5"/>
      <c r="J904" s="85"/>
      <c r="K904" s="85"/>
      <c r="L904" s="85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5"/>
      <c r="J905" s="85"/>
      <c r="K905" s="85"/>
      <c r="L905" s="85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5"/>
      <c r="J906" s="85"/>
      <c r="K906" s="85"/>
      <c r="L906" s="85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5"/>
      <c r="J907" s="85"/>
      <c r="K907" s="85"/>
      <c r="L907" s="85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5"/>
      <c r="J908" s="85"/>
      <c r="K908" s="85"/>
      <c r="L908" s="85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5"/>
      <c r="J909" s="85"/>
      <c r="K909" s="85"/>
      <c r="L909" s="85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5"/>
      <c r="J910" s="85"/>
      <c r="K910" s="85"/>
      <c r="L910" s="85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5"/>
      <c r="J911" s="85"/>
      <c r="K911" s="85"/>
      <c r="L911" s="85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5"/>
      <c r="J912" s="85"/>
      <c r="K912" s="85"/>
      <c r="L912" s="85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5"/>
      <c r="J913" s="85"/>
      <c r="K913" s="85"/>
      <c r="L913" s="85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5"/>
      <c r="J914" s="85"/>
      <c r="K914" s="85"/>
      <c r="L914" s="85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5"/>
      <c r="J915" s="85"/>
      <c r="K915" s="85"/>
      <c r="L915" s="85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5"/>
      <c r="J916" s="85"/>
      <c r="K916" s="85"/>
      <c r="L916" s="85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5"/>
      <c r="J917" s="85"/>
      <c r="K917" s="85"/>
      <c r="L917" s="85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5"/>
      <c r="J918" s="85"/>
      <c r="K918" s="85"/>
      <c r="L918" s="85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5"/>
      <c r="J919" s="85"/>
      <c r="K919" s="85"/>
      <c r="L919" s="85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5"/>
      <c r="J920" s="85"/>
      <c r="K920" s="85"/>
      <c r="L920" s="85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5"/>
      <c r="J921" s="85"/>
      <c r="K921" s="85"/>
      <c r="L921" s="85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5"/>
      <c r="J922" s="85"/>
      <c r="K922" s="85"/>
      <c r="L922" s="85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5"/>
      <c r="J923" s="85"/>
      <c r="K923" s="85"/>
      <c r="L923" s="85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5"/>
      <c r="J924" s="85"/>
      <c r="K924" s="85"/>
      <c r="L924" s="85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5"/>
      <c r="J925" s="85"/>
      <c r="K925" s="85"/>
      <c r="L925" s="85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5"/>
      <c r="J926" s="85"/>
      <c r="K926" s="85"/>
      <c r="L926" s="85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5"/>
      <c r="J927" s="85"/>
      <c r="K927" s="85"/>
      <c r="L927" s="85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5"/>
      <c r="J928" s="85"/>
      <c r="K928" s="85"/>
      <c r="L928" s="85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5"/>
      <c r="J929" s="85"/>
      <c r="K929" s="85"/>
      <c r="L929" s="85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5"/>
      <c r="J930" s="85"/>
      <c r="K930" s="85"/>
      <c r="L930" s="85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5"/>
      <c r="J931" s="85"/>
      <c r="K931" s="85"/>
      <c r="L931" s="85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5"/>
      <c r="J932" s="85"/>
      <c r="K932" s="85"/>
      <c r="L932" s="85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5"/>
      <c r="J933" s="85"/>
      <c r="K933" s="85"/>
      <c r="L933" s="85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5"/>
      <c r="J934" s="85"/>
      <c r="K934" s="85"/>
      <c r="L934" s="85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5"/>
      <c r="J935" s="85"/>
      <c r="K935" s="85"/>
      <c r="L935" s="85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5"/>
      <c r="J936" s="85"/>
      <c r="K936" s="85"/>
      <c r="L936" s="85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5"/>
      <c r="J937" s="85"/>
      <c r="K937" s="85"/>
      <c r="L937" s="85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5"/>
      <c r="J938" s="85"/>
      <c r="K938" s="85"/>
      <c r="L938" s="85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5"/>
      <c r="J939" s="85"/>
      <c r="K939" s="85"/>
      <c r="L939" s="85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5"/>
      <c r="J940" s="85"/>
      <c r="K940" s="85"/>
      <c r="L940" s="85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5"/>
      <c r="J941" s="85"/>
      <c r="K941" s="85"/>
      <c r="L941" s="85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5"/>
      <c r="J942" s="85"/>
      <c r="K942" s="85"/>
      <c r="L942" s="85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5"/>
      <c r="J943" s="85"/>
      <c r="K943" s="85"/>
      <c r="L943" s="85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5"/>
      <c r="J944" s="85"/>
      <c r="K944" s="85"/>
      <c r="L944" s="85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5"/>
      <c r="J945" s="85"/>
      <c r="K945" s="85"/>
      <c r="L945" s="85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5"/>
      <c r="J946" s="85"/>
      <c r="K946" s="85"/>
      <c r="L946" s="85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5"/>
      <c r="J947" s="85"/>
      <c r="K947" s="85"/>
      <c r="L947" s="85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5"/>
      <c r="J948" s="85"/>
      <c r="K948" s="85"/>
      <c r="L948" s="85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5"/>
      <c r="J949" s="85"/>
      <c r="K949" s="85"/>
      <c r="L949" s="85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5"/>
      <c r="J950" s="85"/>
      <c r="K950" s="85"/>
      <c r="L950" s="85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5"/>
      <c r="J951" s="85"/>
      <c r="K951" s="85"/>
      <c r="L951" s="85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5"/>
      <c r="J952" s="85"/>
      <c r="K952" s="85"/>
      <c r="L952" s="85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5"/>
      <c r="J953" s="85"/>
      <c r="K953" s="85"/>
      <c r="L953" s="85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5"/>
      <c r="J954" s="85"/>
      <c r="K954" s="85"/>
      <c r="L954" s="85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5"/>
      <c r="J955" s="85"/>
      <c r="K955" s="85"/>
      <c r="L955" s="85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5"/>
      <c r="J956" s="85"/>
      <c r="K956" s="85"/>
      <c r="L956" s="85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5"/>
      <c r="J957" s="85"/>
      <c r="K957" s="85"/>
      <c r="L957" s="85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5"/>
      <c r="J958" s="85"/>
      <c r="K958" s="85"/>
      <c r="L958" s="85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5"/>
      <c r="J959" s="85"/>
      <c r="K959" s="85"/>
      <c r="L959" s="85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5"/>
      <c r="J960" s="85"/>
      <c r="K960" s="85"/>
      <c r="L960" s="85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5"/>
      <c r="J961" s="85"/>
      <c r="K961" s="85"/>
      <c r="L961" s="85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5"/>
      <c r="J962" s="85"/>
      <c r="K962" s="85"/>
      <c r="L962" s="85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5"/>
      <c r="J963" s="85"/>
      <c r="K963" s="85"/>
      <c r="L963" s="85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5"/>
      <c r="J964" s="85"/>
      <c r="K964" s="85"/>
      <c r="L964" s="85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5"/>
      <c r="J965" s="85"/>
      <c r="K965" s="85"/>
      <c r="L965" s="85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5"/>
      <c r="J966" s="85"/>
      <c r="K966" s="85"/>
      <c r="L966" s="85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>
      <c r="A967" s="83"/>
      <c r="B967" s="83"/>
      <c r="C967" s="83"/>
      <c r="D967" s="83"/>
      <c r="E967" s="83"/>
      <c r="F967" s="83"/>
      <c r="G967" s="83"/>
      <c r="H967" s="83"/>
      <c r="I967" s="85"/>
      <c r="J967" s="85"/>
      <c r="K967" s="85"/>
      <c r="L967" s="85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>
      <c r="A968" s="83"/>
      <c r="B968" s="83"/>
      <c r="C968" s="83"/>
      <c r="D968" s="83"/>
      <c r="E968" s="83"/>
      <c r="F968" s="83"/>
      <c r="G968" s="83"/>
      <c r="H968" s="83"/>
      <c r="I968" s="85"/>
      <c r="J968" s="85"/>
      <c r="K968" s="85"/>
      <c r="L968" s="85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>
      <c r="A969" s="83"/>
      <c r="B969" s="83"/>
      <c r="C969" s="83"/>
      <c r="D969" s="83"/>
      <c r="E969" s="83"/>
      <c r="F969" s="83"/>
      <c r="G969" s="83"/>
      <c r="H969" s="83"/>
      <c r="I969" s="85"/>
      <c r="J969" s="85"/>
      <c r="K969" s="85"/>
      <c r="L969" s="85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>
      <c r="A970" s="83"/>
      <c r="B970" s="83"/>
      <c r="C970" s="83"/>
      <c r="D970" s="83"/>
      <c r="E970" s="83"/>
      <c r="F970" s="83"/>
      <c r="G970" s="83"/>
      <c r="H970" s="83"/>
      <c r="I970" s="85"/>
      <c r="J970" s="85"/>
      <c r="K970" s="85"/>
      <c r="L970" s="85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>
      <c r="A971" s="83"/>
      <c r="B971" s="83"/>
      <c r="C971" s="83"/>
      <c r="D971" s="83"/>
      <c r="E971" s="83"/>
      <c r="F971" s="83"/>
      <c r="G971" s="83"/>
      <c r="H971" s="83"/>
      <c r="I971" s="85"/>
      <c r="J971" s="85"/>
      <c r="K971" s="85"/>
      <c r="L971" s="85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>
      <c r="A972" s="83"/>
      <c r="B972" s="83"/>
      <c r="C972" s="83"/>
      <c r="D972" s="83"/>
      <c r="E972" s="83"/>
      <c r="F972" s="83"/>
      <c r="G972" s="83"/>
      <c r="H972" s="83"/>
      <c r="I972" s="85"/>
      <c r="J972" s="85"/>
      <c r="K972" s="85"/>
      <c r="L972" s="85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>
      <c r="A973" s="83"/>
      <c r="B973" s="83"/>
      <c r="C973" s="83"/>
      <c r="D973" s="83"/>
      <c r="E973" s="83"/>
      <c r="F973" s="83"/>
      <c r="G973" s="83"/>
      <c r="H973" s="83"/>
      <c r="I973" s="85"/>
      <c r="J973" s="85"/>
      <c r="K973" s="85"/>
      <c r="L973" s="85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>
      <c r="A974" s="83"/>
      <c r="B974" s="83"/>
      <c r="C974" s="83"/>
      <c r="D974" s="83"/>
      <c r="E974" s="83"/>
      <c r="F974" s="83"/>
      <c r="G974" s="83"/>
      <c r="H974" s="83"/>
      <c r="I974" s="85"/>
      <c r="J974" s="85"/>
      <c r="K974" s="85"/>
      <c r="L974" s="85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>
      <c r="A975" s="83"/>
      <c r="B975" s="83"/>
      <c r="C975" s="83"/>
      <c r="D975" s="83"/>
      <c r="E975" s="83"/>
      <c r="F975" s="83"/>
      <c r="G975" s="83"/>
      <c r="H975" s="83"/>
      <c r="I975" s="85"/>
      <c r="J975" s="85"/>
      <c r="K975" s="85"/>
      <c r="L975" s="85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>
      <c r="A976" s="83"/>
      <c r="B976" s="83"/>
      <c r="C976" s="83"/>
      <c r="D976" s="83"/>
      <c r="E976" s="83"/>
      <c r="F976" s="83"/>
      <c r="G976" s="83"/>
      <c r="H976" s="83"/>
      <c r="I976" s="85"/>
      <c r="J976" s="85"/>
      <c r="K976" s="85"/>
      <c r="L976" s="85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>
      <c r="A977" s="83"/>
      <c r="B977" s="83"/>
      <c r="C977" s="83"/>
      <c r="D977" s="83"/>
      <c r="E977" s="83"/>
      <c r="F977" s="83"/>
      <c r="G977" s="83"/>
      <c r="H977" s="83"/>
      <c r="I977" s="85"/>
      <c r="J977" s="85"/>
      <c r="K977" s="85"/>
      <c r="L977" s="85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>
      <c r="A978" s="83"/>
      <c r="B978" s="83"/>
      <c r="C978" s="83"/>
      <c r="D978" s="83"/>
      <c r="E978" s="83"/>
      <c r="F978" s="83"/>
      <c r="G978" s="83"/>
      <c r="H978" s="83"/>
      <c r="I978" s="85"/>
      <c r="J978" s="85"/>
      <c r="K978" s="85"/>
      <c r="L978" s="85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>
      <c r="A979" s="83"/>
      <c r="B979" s="83"/>
      <c r="C979" s="83"/>
      <c r="D979" s="83"/>
      <c r="E979" s="83"/>
      <c r="F979" s="83"/>
      <c r="G979" s="83"/>
      <c r="H979" s="83"/>
      <c r="I979" s="85"/>
      <c r="J979" s="85"/>
      <c r="K979" s="85"/>
      <c r="L979" s="85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>
      <c r="A980" s="83"/>
      <c r="B980" s="83"/>
      <c r="C980" s="83"/>
      <c r="D980" s="83"/>
      <c r="E980" s="83"/>
      <c r="F980" s="83"/>
      <c r="G980" s="83"/>
      <c r="H980" s="83"/>
      <c r="I980" s="85"/>
      <c r="J980" s="85"/>
      <c r="K980" s="85"/>
      <c r="L980" s="85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>
      <c r="A981" s="83"/>
      <c r="B981" s="83"/>
      <c r="C981" s="83"/>
      <c r="D981" s="83"/>
      <c r="E981" s="83"/>
      <c r="F981" s="83"/>
      <c r="G981" s="83"/>
      <c r="H981" s="83"/>
      <c r="I981" s="85"/>
      <c r="J981" s="85"/>
      <c r="K981" s="85"/>
      <c r="L981" s="85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>
      <c r="A982" s="83"/>
      <c r="B982" s="83"/>
      <c r="C982" s="83"/>
      <c r="D982" s="83"/>
      <c r="E982" s="83"/>
      <c r="F982" s="83"/>
      <c r="G982" s="83"/>
      <c r="H982" s="83"/>
      <c r="I982" s="85"/>
      <c r="J982" s="85"/>
      <c r="K982" s="85"/>
      <c r="L982" s="85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>
      <c r="A983" s="83"/>
      <c r="B983" s="83"/>
      <c r="C983" s="83"/>
      <c r="D983" s="83"/>
      <c r="E983" s="83"/>
      <c r="F983" s="83"/>
      <c r="G983" s="83"/>
      <c r="H983" s="83"/>
      <c r="I983" s="85"/>
      <c r="J983" s="85"/>
      <c r="K983" s="85"/>
      <c r="L983" s="85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>
      <c r="A984" s="83"/>
      <c r="B984" s="83"/>
      <c r="C984" s="83"/>
      <c r="D984" s="83"/>
      <c r="E984" s="83"/>
      <c r="F984" s="83"/>
      <c r="G984" s="83"/>
      <c r="H984" s="83"/>
      <c r="I984" s="85"/>
      <c r="J984" s="85"/>
      <c r="K984" s="85"/>
      <c r="L984" s="85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>
      <c r="A985" s="83"/>
      <c r="B985" s="83"/>
      <c r="C985" s="83"/>
      <c r="D985" s="83"/>
      <c r="E985" s="83"/>
      <c r="F985" s="83"/>
      <c r="G985" s="83"/>
      <c r="H985" s="83"/>
      <c r="I985" s="85"/>
      <c r="J985" s="85"/>
      <c r="K985" s="85"/>
      <c r="L985" s="85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>
      <c r="A986" s="83"/>
      <c r="B986" s="83"/>
      <c r="C986" s="83"/>
      <c r="D986" s="83"/>
      <c r="E986" s="83"/>
      <c r="F986" s="83"/>
      <c r="G986" s="83"/>
      <c r="H986" s="83"/>
      <c r="I986" s="85"/>
      <c r="J986" s="85"/>
      <c r="K986" s="85"/>
      <c r="L986" s="85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>
      <c r="A987" s="83"/>
      <c r="B987" s="83"/>
      <c r="C987" s="83"/>
      <c r="D987" s="83"/>
      <c r="E987" s="83"/>
      <c r="F987" s="83"/>
      <c r="G987" s="83"/>
      <c r="H987" s="83"/>
      <c r="I987" s="85"/>
      <c r="J987" s="85"/>
      <c r="K987" s="85"/>
      <c r="L987" s="85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>
      <c r="A988" s="83"/>
      <c r="B988" s="83"/>
      <c r="C988" s="83"/>
      <c r="D988" s="83"/>
      <c r="E988" s="83"/>
      <c r="F988" s="83"/>
      <c r="G988" s="83"/>
      <c r="H988" s="83"/>
      <c r="I988" s="85"/>
      <c r="J988" s="85"/>
      <c r="K988" s="85"/>
      <c r="L988" s="85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>
      <c r="A989" s="83"/>
      <c r="B989" s="83"/>
      <c r="C989" s="83"/>
      <c r="D989" s="83"/>
      <c r="E989" s="83"/>
      <c r="F989" s="83"/>
      <c r="G989" s="83"/>
      <c r="H989" s="83"/>
      <c r="I989" s="85"/>
      <c r="J989" s="85"/>
      <c r="K989" s="85"/>
      <c r="L989" s="85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>
      <c r="A990" s="83"/>
      <c r="B990" s="83"/>
      <c r="C990" s="83"/>
      <c r="D990" s="83"/>
      <c r="E990" s="83"/>
      <c r="F990" s="83"/>
      <c r="G990" s="83"/>
      <c r="H990" s="83"/>
      <c r="I990" s="85"/>
      <c r="J990" s="85"/>
      <c r="K990" s="85"/>
      <c r="L990" s="85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>
      <c r="A991" s="83"/>
      <c r="B991" s="83"/>
      <c r="C991" s="83"/>
      <c r="D991" s="83"/>
      <c r="E991" s="83"/>
      <c r="F991" s="83"/>
      <c r="G991" s="83"/>
      <c r="H991" s="83"/>
      <c r="I991" s="85"/>
      <c r="J991" s="85"/>
      <c r="K991" s="85"/>
      <c r="L991" s="85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>
      <c r="A992" s="83"/>
      <c r="B992" s="83"/>
      <c r="C992" s="83"/>
      <c r="D992" s="83"/>
      <c r="E992" s="83"/>
      <c r="F992" s="83"/>
      <c r="G992" s="83"/>
      <c r="H992" s="83"/>
      <c r="I992" s="85"/>
      <c r="J992" s="85"/>
      <c r="K992" s="85"/>
      <c r="L992" s="85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>
      <c r="A993" s="83"/>
      <c r="B993" s="83"/>
      <c r="C993" s="83"/>
      <c r="D993" s="83"/>
      <c r="E993" s="83"/>
      <c r="F993" s="83"/>
      <c r="G993" s="83"/>
      <c r="H993" s="83"/>
      <c r="I993" s="85"/>
      <c r="J993" s="85"/>
      <c r="K993" s="85"/>
      <c r="L993" s="85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>
      <c r="A994" s="83"/>
      <c r="B994" s="83"/>
      <c r="C994" s="83"/>
      <c r="D994" s="83"/>
      <c r="E994" s="83"/>
      <c r="F994" s="83"/>
      <c r="G994" s="83"/>
      <c r="H994" s="83"/>
      <c r="I994" s="85"/>
      <c r="J994" s="85"/>
      <c r="K994" s="85"/>
      <c r="L994" s="85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>
      <c r="A995" s="83"/>
      <c r="B995" s="83"/>
      <c r="C995" s="83"/>
      <c r="D995" s="83"/>
      <c r="E995" s="83"/>
      <c r="F995" s="83"/>
      <c r="G995" s="83"/>
      <c r="H995" s="83"/>
      <c r="I995" s="85"/>
      <c r="J995" s="85"/>
      <c r="K995" s="85"/>
      <c r="L995" s="85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>
      <c r="A996" s="83"/>
      <c r="B996" s="83"/>
      <c r="C996" s="83"/>
      <c r="D996" s="83"/>
      <c r="E996" s="83"/>
      <c r="F996" s="83"/>
      <c r="G996" s="83"/>
      <c r="H996" s="83"/>
      <c r="I996" s="85"/>
      <c r="J996" s="85"/>
      <c r="K996" s="85"/>
      <c r="L996" s="85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>
      <c r="A997" s="83"/>
      <c r="B997" s="83"/>
      <c r="C997" s="83"/>
      <c r="D997" s="83"/>
      <c r="E997" s="83"/>
      <c r="F997" s="83"/>
      <c r="G997" s="83"/>
      <c r="H997" s="83"/>
      <c r="I997" s="85"/>
      <c r="J997" s="85"/>
      <c r="K997" s="85"/>
      <c r="L997" s="85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>
      <c r="A998" s="83"/>
      <c r="B998" s="83"/>
      <c r="C998" s="83"/>
      <c r="D998" s="83"/>
      <c r="E998" s="83"/>
      <c r="F998" s="83"/>
      <c r="G998" s="83"/>
      <c r="H998" s="83"/>
      <c r="I998" s="85"/>
      <c r="J998" s="85"/>
      <c r="K998" s="85"/>
      <c r="L998" s="85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>
      <c r="A999" s="83"/>
      <c r="B999" s="83"/>
      <c r="C999" s="83"/>
      <c r="D999" s="83"/>
      <c r="E999" s="83"/>
      <c r="F999" s="83"/>
      <c r="G999" s="83"/>
      <c r="H999" s="83"/>
      <c r="I999" s="85"/>
      <c r="J999" s="85"/>
      <c r="K999" s="85"/>
      <c r="L999" s="85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>
      <c r="A1000" s="83"/>
      <c r="B1000" s="83"/>
      <c r="C1000" s="83"/>
      <c r="D1000" s="83"/>
      <c r="E1000" s="83"/>
      <c r="F1000" s="83"/>
      <c r="G1000" s="83"/>
      <c r="H1000" s="83"/>
      <c r="I1000" s="85"/>
      <c r="J1000" s="85"/>
      <c r="K1000" s="85"/>
      <c r="L1000" s="85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</sheetData>
  <mergeCells count="7">
    <mergeCell ref="A1:E1"/>
    <mergeCell ref="G1:J1"/>
    <mergeCell ref="A9:E9"/>
    <mergeCell ref="G9:I9"/>
    <mergeCell ref="G16:I16"/>
    <mergeCell ref="A17:E17"/>
    <mergeCell ref="A25:E25"/>
  </mergeCells>
  <drawing r:id="rId1"/>
</worksheet>
</file>